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tyles" sheetId="2" state="visible" r:id="rId4"/>
    <sheet name="SKUs" sheetId="3" state="visible" r:id="rId5"/>
    <sheet name="Old to New" sheetId="4" state="visible" r:id="rId6"/>
    <sheet name="Code Tables" sheetId="5" state="visible" r:id="rId7"/>
    <sheet name="To Confirm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<sst xmlns="http://schemas.openxmlformats.org/spreadsheetml/2006/main" count="1188" uniqueCount="413">
  <si>
    <t xml:space="preserve">Cleo Camp Style Number System</t>
  </si>
  <si>
    <t xml:space="preserve">THE FORMAT</t>
  </si>
  <si>
    <t xml:space="preserve">Style number  =  2-letter category + 3-digit sequence.  Example: TP101 (Cleo Tee).</t>
  </si>
  <si>
    <t xml:space="preserve">SKU  =  STYLE - COLORWAY - SIZE.  Example: TP101-BLK-01 (Cleo Tee, Black, size 1).</t>
  </si>
  <si>
    <t xml:space="preserve">THE RULES</t>
  </si>
  <si>
    <t xml:space="preserve">1. A style is a pattern/design. Change the pattern, get a new number. Change only the color or size, keep the number.</t>
  </si>
  <si>
    <t xml:space="preserve">2. Numbers are never reused, even if a product is retired.</t>
  </si>
  <si>
    <t xml:space="preserve">3. Season, year and status are columns, not part of the code. A Cleo Tee in SS26 is the same style as in SS25.</t>
  </si>
  <si>
    <t xml:space="preserve">4. Only letters, digits and hyphens. No parentheses, spaces or slashes.</t>
  </si>
  <si>
    <t xml:space="preserve">5. Colors and sizes come from the Code Tables sheet. Add a code there first, then use it.</t>
  </si>
  <si>
    <t xml:space="preserve">6. Next free style in a category is shown on Code Tables. Sequence starts at 101.</t>
  </si>
  <si>
    <t xml:space="preserve">SHEETS</t>
  </si>
  <si>
    <t xml:space="preserve">Styles: one row per style, with counts that update on their own.</t>
  </si>
  <si>
    <t xml:space="preserve">SKUs: one row per variant. The SKU column is a formula; the Check column flags duplicates and unknown codes.</t>
  </si>
  <si>
    <t xml:space="preserve">Old to New: look up any old SKU and get its new one.</t>
  </si>
  <si>
    <t xml:space="preserve">Code Tables: category, color and size codes.</t>
  </si>
  <si>
    <t xml:space="preserve">To Confirm: what is settled and what is still open.</t>
  </si>
  <si>
    <t xml:space="preserve">BEFORE YOU CHANGE ANYTHING LIVE</t>
  </si>
  <si>
    <t xml:space="preserve">Nothing in Shopify has been changed. Studio Mouse, QuickBooks, Square and open POs all match on the old SKUs, so update them in the same pass.</t>
  </si>
  <si>
    <t xml:space="preserve">Grey cells are formulas. Don't type over them.</t>
  </si>
  <si>
    <t xml:space="preserve">Style</t>
  </si>
  <si>
    <t xml:space="preserve">Product</t>
  </si>
  <si>
    <t xml:space="preserve">Cat</t>
  </si>
  <si>
    <t xml:space="preserve">Category</t>
  </si>
  <si>
    <t xml:space="preserve">Status</t>
  </si>
  <si>
    <t xml:space="preserve">Sizes</t>
  </si>
  <si>
    <t xml:space="preserve"># Colorways</t>
  </si>
  <si>
    <t xml:space="preserve"># SKUs</t>
  </si>
  <si>
    <t xml:space="preserve">Notes</t>
  </si>
  <si>
    <t xml:space="preserve">TP101</t>
  </si>
  <si>
    <t xml:space="preserve">Cleo Tee</t>
  </si>
  <si>
    <t xml:space="preserve">ACTIVE</t>
  </si>
  <si>
    <t xml:space="preserve">01, 02, 03</t>
  </si>
  <si>
    <t xml:space="preserve">One style, many colorways (Black, White, Blackberry, Hot Pink, Splash, Red, Shell, Splish, Sunshine). Shopify spreads these across 8 product pages.</t>
  </si>
  <si>
    <t xml:space="preserve">TP102</t>
  </si>
  <si>
    <t xml:space="preserve">Cosmo Tee</t>
  </si>
  <si>
    <t xml:space="preserve">DRAFT</t>
  </si>
  <si>
    <t xml:space="preserve">Red Stripe. Separate pattern from the Cleo Tee, so its own style.</t>
  </si>
  <si>
    <t xml:space="preserve">DR101</t>
  </si>
  <si>
    <t xml:space="preserve">You Dress</t>
  </si>
  <si>
    <t xml:space="preserve">Black and White.</t>
  </si>
  <si>
    <t xml:space="preserve">DR102</t>
  </si>
  <si>
    <t xml:space="preserve">Story Dress</t>
  </si>
  <si>
    <t xml:space="preserve">00, 01, 02, 03</t>
  </si>
  <si>
    <t xml:space="preserve">Red (Wiltshire) and Green (Betsey).</t>
  </si>
  <si>
    <t xml:space="preserve">BT101</t>
  </si>
  <si>
    <t xml:space="preserve">5to7 Skirt</t>
  </si>
  <si>
    <t xml:space="preserve">NOT LIVE</t>
  </si>
  <si>
    <t xml:space="preserve">XS, SM, MD, LG, XL</t>
  </si>
  <si>
    <t xml:space="preserve">Product exists, not in Shopify yet. Pink and Purple assumed to be two colorways (confirm).</t>
  </si>
  <si>
    <t xml:space="preserve">BG101</t>
  </si>
  <si>
    <t xml:space="preserve">Cleo Bag</t>
  </si>
  <si>
    <t xml:space="preserve">OS</t>
  </si>
  <si>
    <t xml:space="preserve">Chocolate, Black, Silver, Olive, Denim Baby Blue, Denim Pink. Same pattern whether Shopify shows 5 products or 1 with variants.</t>
  </si>
  <si>
    <t xml:space="preserve">BG102</t>
  </si>
  <si>
    <t xml:space="preserve">Little Sister</t>
  </si>
  <si>
    <t xml:space="preserve">Black.</t>
  </si>
  <si>
    <t xml:space="preserve">BG103</t>
  </si>
  <si>
    <t xml:space="preserve">Bateau Bag</t>
  </si>
  <si>
    <t xml:space="preserve">Kit: body PT101 + handle AC102 in the same color. Sold as a bundle; the handle also sold alone. Confirmed.</t>
  </si>
  <si>
    <t xml:space="preserve">BG104</t>
  </si>
  <si>
    <t xml:space="preserve">Petite Bateau Bag</t>
  </si>
  <si>
    <t xml:space="preserve">Kit: body PT102 + handle AC102. Same handle fits both bag sizes. Confirmed.</t>
  </si>
  <si>
    <t xml:space="preserve">BG105</t>
  </si>
  <si>
    <t xml:space="preserve">Bean Bag</t>
  </si>
  <si>
    <t xml:space="preserve">PT, MD</t>
  </si>
  <si>
    <t xml:space="preserve">Petite and Medium are sizes of one style. Confirmed. Red Petite is sold live only, not in Shopify.</t>
  </si>
  <si>
    <t xml:space="preserve">BG106</t>
  </si>
  <si>
    <t xml:space="preserve">Cachet</t>
  </si>
  <si>
    <t xml:space="preserve">Wallet/clutch, floral and crushed gold leather.</t>
  </si>
  <si>
    <t xml:space="preserve">AC101</t>
  </si>
  <si>
    <t xml:space="preserve">Boy Belt</t>
  </si>
  <si>
    <t xml:space="preserve">XS, SM, MD, LG</t>
  </si>
  <si>
    <t xml:space="preserve">Dark chocolate leather, silver buckle.</t>
  </si>
  <si>
    <t xml:space="preserve">AC102</t>
  </si>
  <si>
    <t xml:space="preserve">Bateau Handle</t>
  </si>
  <si>
    <t xml:space="preserve">Sold on its own and as the add-on for the Bateau Bags.</t>
  </si>
  <si>
    <t xml:space="preserve">AC103</t>
  </si>
  <si>
    <t xml:space="preserve">Flower Hair Tie</t>
  </si>
  <si>
    <t xml:space="preserve">Hot Pink.</t>
  </si>
  <si>
    <t xml:space="preserve">AC104</t>
  </si>
  <si>
    <t xml:space="preserve">Sardine</t>
  </si>
  <si>
    <t xml:space="preserve">Beaded or Naked.</t>
  </si>
  <si>
    <t xml:space="preserve">PT101</t>
  </si>
  <si>
    <t xml:space="preserve">Bateau Body</t>
  </si>
  <si>
    <t xml:space="preserve">Component. Not sold on its own yet.</t>
  </si>
  <si>
    <t xml:space="preserve">PT102</t>
  </si>
  <si>
    <t xml:space="preserve">Petite Bateau Body</t>
  </si>
  <si>
    <t xml:space="preserve">OT101</t>
  </si>
  <si>
    <t xml:space="preserve">Splash Photo Book</t>
  </si>
  <si>
    <t xml:space="preserve">Book. Currently at zero stock.</t>
  </si>
  <si>
    <t xml:space="preserve">IN101</t>
  </si>
  <si>
    <t xml:space="preserve">Cleo Underwear</t>
  </si>
  <si>
    <t xml:space="preserve">DEVELOPMENT</t>
  </si>
  <si>
    <t xml:space="preserve">In development. White and Pink assumed to be two colorways. New category IN (Intimates) proposed.</t>
  </si>
  <si>
    <t xml:space="preserve">TP103</t>
  </si>
  <si>
    <t xml:space="preserve">Cleo Sweater</t>
  </si>
  <si>
    <t xml:space="preserve">PROPOSED</t>
  </si>
  <si>
    <t xml:space="preserve">TBD</t>
  </si>
  <si>
    <t xml:space="preserve">In development in Studio Mouse. Number proposed, not confirmed.</t>
  </si>
  <si>
    <t xml:space="preserve">TP104</t>
  </si>
  <si>
    <t xml:space="preserve">Cleo Tank</t>
  </si>
  <si>
    <t xml:space="preserve">TP105</t>
  </si>
  <si>
    <t xml:space="preserve">Long Sleeve Cleo Tee</t>
  </si>
  <si>
    <t xml:space="preserve">Assumed a new pattern (new sleeve). If it is the Cleo Tee body with a sleeve swap, tell me and it moves under TP101.</t>
  </si>
  <si>
    <t xml:space="preserve">DR103</t>
  </si>
  <si>
    <t xml:space="preserve">Cleo Tee Dress</t>
  </si>
  <si>
    <t xml:space="preserve">DR104</t>
  </si>
  <si>
    <t xml:space="preserve">Scoop Neck Dress</t>
  </si>
  <si>
    <t xml:space="preserve">Sampling. Number proposed, not confirmed.</t>
  </si>
  <si>
    <t xml:space="preserve">DR105</t>
  </si>
  <si>
    <t xml:space="preserve">Christmas Dress</t>
  </si>
  <si>
    <t xml:space="preserve">BT102</t>
  </si>
  <si>
    <t xml:space="preserve">Tutu</t>
  </si>
  <si>
    <t xml:space="preserve">Total</t>
  </si>
  <si>
    <t xml:space="preserve">SKU (new)</t>
  </si>
  <si>
    <t xml:space="preserve">Color</t>
  </si>
  <si>
    <t xml:space="preserve">Colorway</t>
  </si>
  <si>
    <t xml:space="preserve">Size</t>
  </si>
  <si>
    <t xml:space="preserve">Size name</t>
  </si>
  <si>
    <t xml:space="preserve">Shopify handle</t>
  </si>
  <si>
    <t xml:space="preserve">Variant title</t>
  </si>
  <si>
    <t xml:space="preserve">Old SKU</t>
  </si>
  <si>
    <t xml:space="preserve">Season</t>
  </si>
  <si>
    <t xml:space="preserve">Check</t>
  </si>
  <si>
    <t xml:space="preserve">Colorway count</t>
  </si>
  <si>
    <t xml:space="preserve">BLK</t>
  </si>
  <si>
    <t xml:space="preserve">01</t>
  </si>
  <si>
    <t xml:space="preserve">cleo-tee-w</t>
  </si>
  <si>
    <t xml:space="preserve">Black / 1</t>
  </si>
  <si>
    <t xml:space="preserve">CCSS25COT-BLK01</t>
  </si>
  <si>
    <t xml:space="preserve">SS25</t>
  </si>
  <si>
    <t xml:space="preserve">02</t>
  </si>
  <si>
    <t xml:space="preserve">Black / 2</t>
  </si>
  <si>
    <t xml:space="preserve">CCSS25COT-BLK02</t>
  </si>
  <si>
    <t xml:space="preserve">03</t>
  </si>
  <si>
    <t xml:space="preserve">Black / 3</t>
  </si>
  <si>
    <t xml:space="preserve">CCSS25COT-BLK03</t>
  </si>
  <si>
    <t xml:space="preserve">WHT</t>
  </si>
  <si>
    <t xml:space="preserve">White / 1</t>
  </si>
  <si>
    <t xml:space="preserve">CCSS25COT-WHT01</t>
  </si>
  <si>
    <t xml:space="preserve">White / 2</t>
  </si>
  <si>
    <t xml:space="preserve">CCSS25COT-WHT02</t>
  </si>
  <si>
    <t xml:space="preserve">White / 3</t>
  </si>
  <si>
    <t xml:space="preserve">CCSS25COT-WHT03</t>
  </si>
  <si>
    <t xml:space="preserve">BER</t>
  </si>
  <si>
    <t xml:space="preserve">cleo-tee-blackberry</t>
  </si>
  <si>
    <t xml:space="preserve">Blackberry / 1</t>
  </si>
  <si>
    <t xml:space="preserve">CCSS26COT-BER01</t>
  </si>
  <si>
    <t xml:space="preserve">UNLISTED</t>
  </si>
  <si>
    <t xml:space="preserve">SS26</t>
  </si>
  <si>
    <t xml:space="preserve">Blackberry / 2</t>
  </si>
  <si>
    <t xml:space="preserve">CCSS26COT-BER02</t>
  </si>
  <si>
    <t xml:space="preserve">Blackberry / 3</t>
  </si>
  <si>
    <t xml:space="preserve">CCSS26COT-BER03</t>
  </si>
  <si>
    <t xml:space="preserve">HPK</t>
  </si>
  <si>
    <t xml:space="preserve">cleo-tee-hot-pink</t>
  </si>
  <si>
    <t xml:space="preserve">Hot Pink / 1</t>
  </si>
  <si>
    <t xml:space="preserve">Hot Pink / 2</t>
  </si>
  <si>
    <t xml:space="preserve">Hot Pink / 3</t>
  </si>
  <si>
    <t xml:space="preserve">SPS</t>
  </si>
  <si>
    <t xml:space="preserve">neverworns-tee</t>
  </si>
  <si>
    <t xml:space="preserve">Splash / 1</t>
  </si>
  <si>
    <t xml:space="preserve">CCFW25COTNV-SLPS01</t>
  </si>
  <si>
    <t xml:space="preserve">FW25</t>
  </si>
  <si>
    <t xml:space="preserve">Splash / 2</t>
  </si>
  <si>
    <t xml:space="preserve">CCFW25COTNV-SLPS02</t>
  </si>
  <si>
    <t xml:space="preserve">Splash / 3</t>
  </si>
  <si>
    <t xml:space="preserve">CCFW25COTNV-SLPS03</t>
  </si>
  <si>
    <t xml:space="preserve">RED</t>
  </si>
  <si>
    <t xml:space="preserve">ruby-red-tee</t>
  </si>
  <si>
    <t xml:space="preserve">Red / 1</t>
  </si>
  <si>
    <t xml:space="preserve">CCFW25COT-RED01</t>
  </si>
  <si>
    <t xml:space="preserve">Red / 2</t>
  </si>
  <si>
    <t xml:space="preserve">CCFW25COT-RED02</t>
  </si>
  <si>
    <t xml:space="preserve">Red / 3</t>
  </si>
  <si>
    <t xml:space="preserve">CCFW25COT-RED03</t>
  </si>
  <si>
    <t xml:space="preserve">SHL</t>
  </si>
  <si>
    <t xml:space="preserve">cleo-tee-shell</t>
  </si>
  <si>
    <t xml:space="preserve">Shell / 1</t>
  </si>
  <si>
    <t xml:space="preserve">CCSS26COT-SHL01</t>
  </si>
  <si>
    <t xml:space="preserve">Shell / 2</t>
  </si>
  <si>
    <t xml:space="preserve">CCSS26COT-SHL02</t>
  </si>
  <si>
    <t xml:space="preserve">Shell / 3</t>
  </si>
  <si>
    <t xml:space="preserve">CCSS26COT-SHL03</t>
  </si>
  <si>
    <t xml:space="preserve">SPL</t>
  </si>
  <si>
    <t xml:space="preserve">cleo-tee-splish</t>
  </si>
  <si>
    <t xml:space="preserve">Splish / 1</t>
  </si>
  <si>
    <t xml:space="preserve">Splish / 2</t>
  </si>
  <si>
    <t xml:space="preserve">Splish / 3</t>
  </si>
  <si>
    <t xml:space="preserve">SNS</t>
  </si>
  <si>
    <t xml:space="preserve">cleo-tee-wheat</t>
  </si>
  <si>
    <t xml:space="preserve">Sunshine / 1</t>
  </si>
  <si>
    <t xml:space="preserve">CCSS26COT-SNS01</t>
  </si>
  <si>
    <t xml:space="preserve">Sunshine / 2</t>
  </si>
  <si>
    <t xml:space="preserve">CCSS26COT-SNS02</t>
  </si>
  <si>
    <t xml:space="preserve">Sunshine / 3</t>
  </si>
  <si>
    <t xml:space="preserve">CCSS26COT-SNS03</t>
  </si>
  <si>
    <t xml:space="preserve">RST</t>
  </si>
  <si>
    <t xml:space="preserve">cosmo-tee</t>
  </si>
  <si>
    <t xml:space="preserve">Red Stripe / 1</t>
  </si>
  <si>
    <t xml:space="preserve">Red Stripe / 2</t>
  </si>
  <si>
    <t xml:space="preserve">Red Stripe / 3</t>
  </si>
  <si>
    <t xml:space="preserve">you-dress</t>
  </si>
  <si>
    <t xml:space="preserve">CCSS25COD-BLK01</t>
  </si>
  <si>
    <t xml:space="preserve">CCSS25COD-BLK02</t>
  </si>
  <si>
    <t xml:space="preserve">CCSS25COD-BLK03</t>
  </si>
  <si>
    <t xml:space="preserve">CCSS25COD-WHT01</t>
  </si>
  <si>
    <t xml:space="preserve">CCSS25COD-WHT02</t>
  </si>
  <si>
    <t xml:space="preserve">CCSS25COD-WHT03</t>
  </si>
  <si>
    <t xml:space="preserve">WLT</t>
  </si>
  <si>
    <t xml:space="preserve">00</t>
  </si>
  <si>
    <t xml:space="preserve">story-dress</t>
  </si>
  <si>
    <t xml:space="preserve">Red (Wiltshire) / 0</t>
  </si>
  <si>
    <t xml:space="preserve">Red (Wiltshire) / 1</t>
  </si>
  <si>
    <t xml:space="preserve">Red (Wiltshire) / 2</t>
  </si>
  <si>
    <t xml:space="preserve">Red (Wiltshire) / 3</t>
  </si>
  <si>
    <t xml:space="preserve">BTS</t>
  </si>
  <si>
    <t xml:space="preserve">Green (Betsey) / 0</t>
  </si>
  <si>
    <t xml:space="preserve">Green (Betsey) / 1</t>
  </si>
  <si>
    <t xml:space="preserve">Green (Betsey) / 2</t>
  </si>
  <si>
    <t xml:space="preserve">Green (Betsey) / 3</t>
  </si>
  <si>
    <t xml:space="preserve">CHC</t>
  </si>
  <si>
    <t xml:space="preserve">cleo-bag</t>
  </si>
  <si>
    <t xml:space="preserve">Default Title</t>
  </si>
  <si>
    <t xml:space="preserve">CC23LRTCB-CHOC</t>
  </si>
  <si>
    <t xml:space="preserve">2023</t>
  </si>
  <si>
    <t xml:space="preserve">cleo-bag-black-leather</t>
  </si>
  <si>
    <t xml:space="preserve">CC23LRTCB-BLK</t>
  </si>
  <si>
    <t xml:space="preserve">SLV</t>
  </si>
  <si>
    <t xml:space="preserve">cleo-bag-silver</t>
  </si>
  <si>
    <t xml:space="preserve">CC23LRTCB-SLV</t>
  </si>
  <si>
    <t xml:space="preserve">DBL</t>
  </si>
  <si>
    <t xml:space="preserve">cleo-bag-denim</t>
  </si>
  <si>
    <t xml:space="preserve">Baby Blue</t>
  </si>
  <si>
    <t xml:space="preserve">CC23LRTCB-DNM(BLU)</t>
  </si>
  <si>
    <t xml:space="preserve">DPK</t>
  </si>
  <si>
    <t xml:space="preserve">Pink</t>
  </si>
  <si>
    <t xml:space="preserve">CC23LRTCB-DNM(PNK)</t>
  </si>
  <si>
    <t xml:space="preserve">OLV</t>
  </si>
  <si>
    <t xml:space="preserve">olive-bag</t>
  </si>
  <si>
    <t xml:space="preserve">CC23LRTCB-OLV</t>
  </si>
  <si>
    <t xml:space="preserve">little-sister</t>
  </si>
  <si>
    <t xml:space="preserve">Black</t>
  </si>
  <si>
    <t xml:space="preserve">bateau-bag</t>
  </si>
  <si>
    <t xml:space="preserve">Silver</t>
  </si>
  <si>
    <t xml:space="preserve">Assembled from PT101-NAT-OS + AC102-&lt;color&gt;-OS</t>
  </si>
  <si>
    <t xml:space="preserve">GLD</t>
  </si>
  <si>
    <t xml:space="preserve">Gold</t>
  </si>
  <si>
    <t xml:space="preserve">MRS</t>
  </si>
  <si>
    <t xml:space="preserve">Maraschino</t>
  </si>
  <si>
    <t xml:space="preserve">VRD</t>
  </si>
  <si>
    <t xml:space="preserve">Verdant</t>
  </si>
  <si>
    <t xml:space="preserve">CSP</t>
  </si>
  <si>
    <t xml:space="preserve">Caspian</t>
  </si>
  <si>
    <t xml:space="preserve">Chocolate</t>
  </si>
  <si>
    <t xml:space="preserve">petite-bateau-bag</t>
  </si>
  <si>
    <t xml:space="preserve">Assembled from PT102-NAT-OS + AC102-&lt;color&gt;-OS</t>
  </si>
  <si>
    <t xml:space="preserve">CHP</t>
  </si>
  <si>
    <t xml:space="preserve">PT</t>
  </si>
  <si>
    <t xml:space="preserve">bean-bag</t>
  </si>
  <si>
    <t xml:space="preserve">Champagne / Petite</t>
  </si>
  <si>
    <t xml:space="preserve">Black / Petite</t>
  </si>
  <si>
    <t xml:space="preserve">MD</t>
  </si>
  <si>
    <t xml:space="preserve">Silver / Medium</t>
  </si>
  <si>
    <t xml:space="preserve">FLG</t>
  </si>
  <si>
    <t xml:space="preserve">cachet</t>
  </si>
  <si>
    <t xml:space="preserve">DCH</t>
  </si>
  <si>
    <t xml:space="preserve">XS</t>
  </si>
  <si>
    <t xml:space="preserve">boy-belt</t>
  </si>
  <si>
    <t xml:space="preserve">Extra Small</t>
  </si>
  <si>
    <t xml:space="preserve">SM</t>
  </si>
  <si>
    <t xml:space="preserve">Small</t>
  </si>
  <si>
    <t xml:space="preserve">Medium</t>
  </si>
  <si>
    <t xml:space="preserve">LG</t>
  </si>
  <si>
    <t xml:space="preserve">Large</t>
  </si>
  <si>
    <t xml:space="preserve">bateau-handle</t>
  </si>
  <si>
    <t xml:space="preserve">flower-hairtie</t>
  </si>
  <si>
    <t xml:space="preserve">Hot Pink</t>
  </si>
  <si>
    <t xml:space="preserve">FLWR-HT-HP</t>
  </si>
  <si>
    <t xml:space="preserve">BDD</t>
  </si>
  <si>
    <t xml:space="preserve">sardine</t>
  </si>
  <si>
    <t xml:space="preserve">Beaded</t>
  </si>
  <si>
    <t xml:space="preserve">NKD</t>
  </si>
  <si>
    <t xml:space="preserve">Naked</t>
  </si>
  <si>
    <t xml:space="preserve">NAT</t>
  </si>
  <si>
    <t xml:space="preserve">bateau-body-part</t>
  </si>
  <si>
    <t xml:space="preserve">petite-bateau-body-part</t>
  </si>
  <si>
    <t xml:space="preserve">STD</t>
  </si>
  <si>
    <t xml:space="preserve">splash-photobook</t>
  </si>
  <si>
    <t xml:space="preserve">PNK</t>
  </si>
  <si>
    <t xml:space="preserve">(not in Shopify yet)</t>
  </si>
  <si>
    <t xml:space="preserve">Pink / XS</t>
  </si>
  <si>
    <t xml:space="preserve">Pink and Purple assumed to be two colorways</t>
  </si>
  <si>
    <t xml:space="preserve">Pink / SM</t>
  </si>
  <si>
    <t xml:space="preserve">Pink / MD</t>
  </si>
  <si>
    <t xml:space="preserve">Pink / LG</t>
  </si>
  <si>
    <t xml:space="preserve">XL</t>
  </si>
  <si>
    <t xml:space="preserve">Pink / XL</t>
  </si>
  <si>
    <t xml:space="preserve">PRP</t>
  </si>
  <si>
    <t xml:space="preserve">Purple / XS</t>
  </si>
  <si>
    <t xml:space="preserve">Purple / SM</t>
  </si>
  <si>
    <t xml:space="preserve">Purple / MD</t>
  </si>
  <si>
    <t xml:space="preserve">Purple / LG</t>
  </si>
  <si>
    <t xml:space="preserve">Purple / XL</t>
  </si>
  <si>
    <t xml:space="preserve">(in development)</t>
  </si>
  <si>
    <t xml:space="preserve">White / XS</t>
  </si>
  <si>
    <t xml:space="preserve">White and Pink assumed to be two colorways</t>
  </si>
  <si>
    <t xml:space="preserve">White / SM</t>
  </si>
  <si>
    <t xml:space="preserve">White / MD</t>
  </si>
  <si>
    <t xml:space="preserve">White / LG</t>
  </si>
  <si>
    <t xml:space="preserve">White / XL</t>
  </si>
  <si>
    <t xml:space="preserve">(live only, not in Shopify)</t>
  </si>
  <si>
    <t xml:space="preserve">Red / Petite</t>
  </si>
  <si>
    <t xml:space="preserve">LIVE ONLY</t>
  </si>
  <si>
    <t xml:space="preserve">Sold in person only. Proposed code, confirm.</t>
  </si>
  <si>
    <t xml:space="preserve">New SKU</t>
  </si>
  <si>
    <t xml:space="preserve">Variant</t>
  </si>
  <si>
    <t xml:space="preserve">CCSS25COT-BLK01-OLD</t>
  </si>
  <si>
    <t xml:space="preserve">Cleo Tee (archived duplicate)</t>
  </si>
  <si>
    <t xml:space="preserve">CCSS25COT-BLK02-OLD</t>
  </si>
  <si>
    <t xml:space="preserve">CCSS25COT-BLK03-OLD</t>
  </si>
  <si>
    <t xml:space="preserve">CCSS25COT-WHT01-OLD</t>
  </si>
  <si>
    <t xml:space="preserve">CCSS25COT-WHT02-OLD</t>
  </si>
  <si>
    <t xml:space="preserve">CCSS25COT-WHT03-OLD</t>
  </si>
  <si>
    <t xml:space="preserve">Next style</t>
  </si>
  <si>
    <t xml:space="preserve">Legacy code</t>
  </si>
  <si>
    <t xml:space="preserve">SKUs using</t>
  </si>
  <si>
    <t xml:space="preserve">TP</t>
  </si>
  <si>
    <t xml:space="preserve">Tops</t>
  </si>
  <si>
    <t xml:space="preserve">Size 0</t>
  </si>
  <si>
    <t xml:space="preserve">DR</t>
  </si>
  <si>
    <t xml:space="preserve">Dresses</t>
  </si>
  <si>
    <t xml:space="preserve">White</t>
  </si>
  <si>
    <t xml:space="preserve">Size 1</t>
  </si>
  <si>
    <t xml:space="preserve">BT</t>
  </si>
  <si>
    <t xml:space="preserve">Bottoms</t>
  </si>
  <si>
    <t xml:space="preserve">Red</t>
  </si>
  <si>
    <t xml:space="preserve">Size 2</t>
  </si>
  <si>
    <t xml:space="preserve">BG</t>
  </si>
  <si>
    <t xml:space="preserve">Bags</t>
  </si>
  <si>
    <t xml:space="preserve">Blackberry</t>
  </si>
  <si>
    <t xml:space="preserve">Size 3</t>
  </si>
  <si>
    <t xml:space="preserve">AC</t>
  </si>
  <si>
    <t xml:space="preserve">Accessories</t>
  </si>
  <si>
    <t xml:space="preserve">Shell</t>
  </si>
  <si>
    <t xml:space="preserve">Parts / Components</t>
  </si>
  <si>
    <t xml:space="preserve">Sunshine</t>
  </si>
  <si>
    <t xml:space="preserve">OT</t>
  </si>
  <si>
    <t xml:space="preserve">Other</t>
  </si>
  <si>
    <t xml:space="preserve">IN</t>
  </si>
  <si>
    <t xml:space="preserve">Intimates</t>
  </si>
  <si>
    <t xml:space="preserve">Splash</t>
  </si>
  <si>
    <t xml:space="preserve">SLPS</t>
  </si>
  <si>
    <t xml:space="preserve">Splish</t>
  </si>
  <si>
    <t xml:space="preserve">Petite</t>
  </si>
  <si>
    <t xml:space="preserve">Red Stripe</t>
  </si>
  <si>
    <t xml:space="preserve">One Size</t>
  </si>
  <si>
    <t xml:space="preserve">Wiltshire (Red)</t>
  </si>
  <si>
    <t xml:space="preserve">Extra Large</t>
  </si>
  <si>
    <t xml:space="preserve">Betsey (Green)</t>
  </si>
  <si>
    <t xml:space="preserve">CHOC</t>
  </si>
  <si>
    <t xml:space="preserve">Champagne</t>
  </si>
  <si>
    <t xml:space="preserve">Olive</t>
  </si>
  <si>
    <t xml:space="preserve">Denim Baby Blue</t>
  </si>
  <si>
    <t xml:space="preserve">DNM(BLU)</t>
  </si>
  <si>
    <t xml:space="preserve">Denim Pink</t>
  </si>
  <si>
    <t xml:space="preserve">DNM(PNK)</t>
  </si>
  <si>
    <t xml:space="preserve">Floral / Gold</t>
  </si>
  <si>
    <t xml:space="preserve">Dark Chocolate</t>
  </si>
  <si>
    <t xml:space="preserve">Natural</t>
  </si>
  <si>
    <t xml:space="preserve">Standard</t>
  </si>
  <si>
    <t xml:space="preserve">Purple</t>
  </si>
  <si>
    <t xml:space="preserve">#</t>
  </si>
  <si>
    <t xml:space="preserve">Item</t>
  </si>
  <si>
    <t xml:space="preserve">What I assumed</t>
  </si>
  <si>
    <t xml:space="preserve">Why it matters</t>
  </si>
  <si>
    <t xml:space="preserve">Your answer</t>
  </si>
  <si>
    <t xml:space="preserve">Cleo Bag as one style</t>
  </si>
  <si>
    <t xml:space="preserve">All Cleo Bag colors (Olive, Denim included) sit under BG101.</t>
  </si>
  <si>
    <t xml:space="preserve">Mouse tracks five Cleo Bag products. Each maps to a colorway under BG101.</t>
  </si>
  <si>
    <t xml:space="preserve">Confirmed Oct 8</t>
  </si>
  <si>
    <t xml:space="preserve">Bean Bag sizes</t>
  </si>
  <si>
    <t xml:space="preserve">Petite and Medium are sizes of one style, BG105.</t>
  </si>
  <si>
    <t xml:space="preserve">Cleo Tee prints</t>
  </si>
  <si>
    <t xml:space="preserve">Neverworns/Splash, Splish, Sunshine etc. are colorways of TP101.</t>
  </si>
  <si>
    <t xml:space="preserve">Bateau kits and handle</t>
  </si>
  <si>
    <t xml:space="preserve">Bag = body (PT101/PT102) + AC102 handle, same color. Handle fits both sizes and is also sold alone.</t>
  </si>
  <si>
    <t xml:space="preserve">Square-only items</t>
  </si>
  <si>
    <t xml:space="preserve">Peony and Big Gold Bag are discontinued, so no numbers.</t>
  </si>
  <si>
    <t xml:space="preserve">BT101, sizes XS to XL (XL added to the size list). Product exists, not in Shopify yet.</t>
  </si>
  <si>
    <t xml:space="preserve">Is Pink/Purple two colorways (PNK, PRP) or one pink-purple piece? Is Mouse's New Skirt (PO 2362) the same thing?</t>
  </si>
  <si>
    <t xml:space="preserve">OPEN</t>
  </si>
  <si>
    <t xml:space="preserve">IN101 in a new category, IN (Intimates). Sizes XS to XL. White and Pink as two colorways.</t>
  </si>
  <si>
    <t xml:space="preserve">Underwear doesn't fit the existing categories. Say if you'd rather file it under AC.</t>
  </si>
  <si>
    <t xml:space="preserve">Red Bean Bag</t>
  </si>
  <si>
    <t xml:space="preserve">BG105-RED-PT, status Live Only. Not in Shopify.</t>
  </si>
  <si>
    <t xml:space="preserve">Sold in person only, so it needs a code but no Shopify listing. Is Mouse's Red Bag the same thing?</t>
  </si>
  <si>
    <t xml:space="preserve">New Blue (Cleo Tee)</t>
  </si>
  <si>
    <t xml:space="preserve">No code yet.</t>
  </si>
  <si>
    <t xml:space="preserve">Mouse has a Cleo Tee color called New Blue. Shopify has no such color. It may be Splish, which Shopify describes as vacation blue. Ask Cleo.</t>
  </si>
  <si>
    <t xml:space="preserve">Name matches</t>
  </si>
  <si>
    <t xml:space="preserve">Ruby Red = RED, Cosmo Stripe Tee = TP102, Hair Tie = AC103, based on the POs and Shopify.</t>
  </si>
  <si>
    <t xml:space="preserve">If any of these are different patterns they need their own numbers.</t>
  </si>
  <si>
    <t xml:space="preserve">Proposed numbers for products in development</t>
  </si>
  <si>
    <t xml:space="preserve">TP103 Cleo Sweater, TP104 Cleo Tank, TP105 Long Sleeve Cleo Tee, DR103 Cleo Tee Dress, DR104 Scoop Neck Dress, DR105 Christmas Dress, BT102 Tutu.</t>
  </si>
  <si>
    <t xml:space="preserve">Numbers are cheap but never reused, so strike any you don't want before they go to partners.</t>
  </si>
  <si>
    <t xml:space="preserve">Unknown products</t>
  </si>
  <si>
    <t xml:space="preserve">Dolce, Silk Flowers and Red Bag have no number.</t>
  </si>
  <si>
    <t xml:space="preserve">I don't know what these are. Tell me the category and whether each is a new pattern.</t>
  </si>
  <si>
    <t xml:space="preserve">Cachet colorway</t>
  </si>
  <si>
    <t xml:space="preserve">FLG (Floral / Gold) is a placeholder code.</t>
  </si>
  <si>
    <t xml:space="preserve">Only one variant exists.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</si>
</sst>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C241F"/>
        <bgColor rgb="FF333300"/>
      </patternFill>
    </fill>
    <fill>
      <patternFill patternType="solid">
        <fgColor rgb="FFEDEDED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4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9" min="9" style="0" width="90"/>
  </cols>
  <sheetData>
    <row r="1" customFormat="false" ht="15" hidden="false" customHeight="false" outlineLevel="0" collapsed="false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</row>
    <row r="2" customFormat="false" ht="23.85" hidden="false" customHeight="false" outlineLevel="0" collapsed="false">
      <c r="A2" s="2" t="s">
        <v>29</v>
      </c>
      <c r="B2" s="2" t="s">
        <v>30</v>
      </c>
      <c r="C2" s="5" t="str">
        <f aca="false">LEFT(A2,2)</f>
        <v>TP</v>
      </c>
      <c r="D2" s="5" t="str">
        <f aca="false">IFERROR(INDEX('Code Tables'!$B$2:$B$20,MATCH(C2,'Code Tables'!$A$2:$A$20,0)),"?")</f>
        <v>Tops</v>
      </c>
      <c r="E2" s="2" t="s">
        <v>31</v>
      </c>
      <c r="F2" s="2" t="s">
        <v>32</v>
      </c>
      <c r="G2" s="5" t="n">
        <f aca="false">SUMIFS(SKUs!$O$2:$O$105,SKUs!$B$2:$B$105,A2)</f>
        <v>9</v>
      </c>
      <c r="H2" s="5" t="n">
        <f aca="false">COUNTIF(SKUs!$B$2:$B$105,A2)</f>
        <v>27</v>
      </c>
      <c r="I2" s="6" t="s">
        <v>33</v>
      </c>
    </row>
    <row r="3" customFormat="false" ht="15" hidden="false" customHeight="false" outlineLevel="0" collapsed="false">
      <c r="A3" s="2" t="s">
        <v>34</v>
      </c>
      <c r="B3" s="2" t="s">
        <v>35</v>
      </c>
      <c r="C3" s="5" t="str">
        <f aca="false">LEFT(A3,2)</f>
        <v>TP</v>
      </c>
      <c r="D3" s="5" t="str">
        <f aca="false">IFERROR(INDEX('Code Tables'!$B$2:$B$20,MATCH(C3,'Code Tables'!$A$2:$A$20,0)),"?")</f>
        <v>Tops</v>
      </c>
      <c r="E3" s="2" t="s">
        <v>36</v>
      </c>
      <c r="F3" s="2" t="s">
        <v>32</v>
      </c>
      <c r="G3" s="5" t="n">
        <f aca="false">SUMIFS(SKUs!$O$2:$O$105,SKUs!$B$2:$B$105,A3)</f>
        <v>1</v>
      </c>
      <c r="H3" s="5" t="n">
        <f aca="false">COUNTIF(SKUs!$B$2:$B$105,A3)</f>
        <v>3</v>
      </c>
      <c r="I3" s="6" t="s">
        <v>37</v>
      </c>
    </row>
    <row r="4" customFormat="false" ht="15" hidden="false" customHeight="false" outlineLevel="0" collapsed="false">
      <c r="A4" s="2" t="s">
        <v>38</v>
      </c>
      <c r="B4" s="2" t="s">
        <v>39</v>
      </c>
      <c r="C4" s="5" t="str">
        <f aca="false">LEFT(A4,2)</f>
        <v>DR</v>
      </c>
      <c r="D4" s="5" t="str">
        <f aca="false">IFERROR(INDEX('Code Tables'!$B$2:$B$20,MATCH(C4,'Code Tables'!$A$2:$A$20,0)),"?")</f>
        <v>Dresses</v>
      </c>
      <c r="E4" s="2" t="s">
        <v>31</v>
      </c>
      <c r="F4" s="2" t="s">
        <v>32</v>
      </c>
      <c r="G4" s="5" t="n">
        <f aca="false">SUMIFS(SKUs!$O$2:$O$105,SKUs!$B$2:$B$105,A4)</f>
        <v>2</v>
      </c>
      <c r="H4" s="5" t="n">
        <f aca="false">COUNTIF(SKUs!$B$2:$B$105,A4)</f>
        <v>6</v>
      </c>
      <c r="I4" s="6" t="s">
        <v>40</v>
      </c>
    </row>
    <row r="5" customFormat="false" ht="15" hidden="false" customHeight="false" outlineLevel="0" collapsed="false">
      <c r="A5" s="2" t="s">
        <v>41</v>
      </c>
      <c r="B5" s="2" t="s">
        <v>42</v>
      </c>
      <c r="C5" s="5" t="str">
        <f aca="false">LEFT(A5,2)</f>
        <v>DR</v>
      </c>
      <c r="D5" s="5" t="str">
        <f aca="false">IFERROR(INDEX('Code Tables'!$B$2:$B$20,MATCH(C5,'Code Tables'!$A$2:$A$20,0)),"?")</f>
        <v>Dresses</v>
      </c>
      <c r="E5" s="2" t="s">
        <v>31</v>
      </c>
      <c r="F5" s="2" t="s">
        <v>43</v>
      </c>
      <c r="G5" s="5" t="n">
        <f aca="false">SUMIFS(SKUs!$O$2:$O$105,SKUs!$B$2:$B$105,A5)</f>
        <v>2</v>
      </c>
      <c r="H5" s="5" t="n">
        <f aca="false">COUNTIF(SKUs!$B$2:$B$105,A5)</f>
        <v>8</v>
      </c>
      <c r="I5" s="6" t="s">
        <v>44</v>
      </c>
    </row>
    <row r="6" customFormat="false" ht="15" hidden="false" customHeight="false" outlineLevel="0" collapsed="false">
      <c r="A6" s="2" t="s">
        <v>45</v>
      </c>
      <c r="B6" s="2" t="s">
        <v>46</v>
      </c>
      <c r="C6" s="5" t="str">
        <f aca="false">LEFT(A6,2)</f>
        <v>BT</v>
      </c>
      <c r="D6" s="5" t="str">
        <f aca="false">IFERROR(INDEX('Code Tables'!$B$2:$B$20,MATCH(C6,'Code Tables'!$A$2:$A$20,0)),"?")</f>
        <v>Bottoms</v>
      </c>
      <c r="E6" s="2" t="s">
        <v>47</v>
      </c>
      <c r="F6" s="2" t="s">
        <v>48</v>
      </c>
      <c r="G6" s="5" t="n">
        <f aca="false">SUMIFS(SKUs!$O$2:$O$105,SKUs!$B$2:$B$105,A6)</f>
        <v>2</v>
      </c>
      <c r="H6" s="5" t="n">
        <f aca="false">COUNTIF(SKUs!$B$2:$B$105,A6)</f>
        <v>10</v>
      </c>
      <c r="I6" s="6" t="s">
        <v>49</v>
      </c>
    </row>
    <row r="7" customFormat="false" ht="23.85" hidden="false" customHeight="false" outlineLevel="0" collapsed="false">
      <c r="A7" s="2" t="s">
        <v>50</v>
      </c>
      <c r="B7" s="2" t="s">
        <v>51</v>
      </c>
      <c r="C7" s="5" t="str">
        <f aca="false">LEFT(A7,2)</f>
        <v>BG</v>
      </c>
      <c r="D7" s="5" t="str">
        <f aca="false">IFERROR(INDEX('Code Tables'!$B$2:$B$20,MATCH(C7,'Code Tables'!$A$2:$A$20,0)),"?")</f>
        <v>Bags</v>
      </c>
      <c r="E7" s="2" t="s">
        <v>31</v>
      </c>
      <c r="F7" s="2" t="s">
        <v>52</v>
      </c>
      <c r="G7" s="5" t="n">
        <f aca="false">SUMIFS(SKUs!$O$2:$O$105,SKUs!$B$2:$B$105,A7)</f>
        <v>6</v>
      </c>
      <c r="H7" s="5" t="n">
        <f aca="false">COUNTIF(SKUs!$B$2:$B$105,A7)</f>
        <v>6</v>
      </c>
      <c r="I7" s="6" t="s">
        <v>53</v>
      </c>
    </row>
    <row r="8" customFormat="false" ht="15" hidden="false" customHeight="false" outlineLevel="0" collapsed="false">
      <c r="A8" s="2" t="s">
        <v>54</v>
      </c>
      <c r="B8" s="2" t="s">
        <v>55</v>
      </c>
      <c r="C8" s="5" t="str">
        <f aca="false">LEFT(A8,2)</f>
        <v>BG</v>
      </c>
      <c r="D8" s="5" t="str">
        <f aca="false">IFERROR(INDEX('Code Tables'!$B$2:$B$20,MATCH(C8,'Code Tables'!$A$2:$A$20,0)),"?")</f>
        <v>Bags</v>
      </c>
      <c r="E8" s="2" t="s">
        <v>31</v>
      </c>
      <c r="F8" s="2" t="s">
        <v>52</v>
      </c>
      <c r="G8" s="5" t="n">
        <f aca="false">SUMIFS(SKUs!$O$2:$O$105,SKUs!$B$2:$B$105,A8)</f>
        <v>1</v>
      </c>
      <c r="H8" s="5" t="n">
        <f aca="false">COUNTIF(SKUs!$B$2:$B$105,A8)</f>
        <v>1</v>
      </c>
      <c r="I8" s="6" t="s">
        <v>56</v>
      </c>
    </row>
    <row r="9" customFormat="false" ht="15" hidden="false" customHeight="false" outlineLevel="0" collapsed="false">
      <c r="A9" s="2" t="s">
        <v>57</v>
      </c>
      <c r="B9" s="2" t="s">
        <v>58</v>
      </c>
      <c r="C9" s="5" t="str">
        <f aca="false">LEFT(A9,2)</f>
        <v>BG</v>
      </c>
      <c r="D9" s="5" t="str">
        <f aca="false">IFERROR(INDEX('Code Tables'!$B$2:$B$20,MATCH(C9,'Code Tables'!$A$2:$A$20,0)),"?")</f>
        <v>Bags</v>
      </c>
      <c r="E9" s="2" t="s">
        <v>31</v>
      </c>
      <c r="F9" s="2" t="s">
        <v>52</v>
      </c>
      <c r="G9" s="5" t="n">
        <f aca="false">SUMIFS(SKUs!$O$2:$O$105,SKUs!$B$2:$B$105,A9)</f>
        <v>6</v>
      </c>
      <c r="H9" s="5" t="n">
        <f aca="false">COUNTIF(SKUs!$B$2:$B$105,A9)</f>
        <v>6</v>
      </c>
      <c r="I9" s="6" t="s">
        <v>59</v>
      </c>
    </row>
    <row r="10" customFormat="false" ht="15" hidden="false" customHeight="false" outlineLevel="0" collapsed="false">
      <c r="A10" s="2" t="s">
        <v>60</v>
      </c>
      <c r="B10" s="2" t="s">
        <v>61</v>
      </c>
      <c r="C10" s="5" t="str">
        <f aca="false">LEFT(A10,2)</f>
        <v>BG</v>
      </c>
      <c r="D10" s="5" t="str">
        <f aca="false">IFERROR(INDEX('Code Tables'!$B$2:$B$20,MATCH(C10,'Code Tables'!$A$2:$A$20,0)),"?")</f>
        <v>Bags</v>
      </c>
      <c r="E10" s="2" t="s">
        <v>31</v>
      </c>
      <c r="F10" s="2" t="s">
        <v>52</v>
      </c>
      <c r="G10" s="5" t="n">
        <f aca="false">SUMIFS(SKUs!$O$2:$O$105,SKUs!$B$2:$B$105,A10)</f>
        <v>6</v>
      </c>
      <c r="H10" s="5" t="n">
        <f aca="false">COUNTIF(SKUs!$B$2:$B$105,A10)</f>
        <v>6</v>
      </c>
      <c r="I10" s="6" t="s">
        <v>62</v>
      </c>
    </row>
    <row r="11" customFormat="false" ht="15" hidden="false" customHeight="false" outlineLevel="0" collapsed="false">
      <c r="A11" s="2" t="s">
        <v>63</v>
      </c>
      <c r="B11" s="2" t="s">
        <v>64</v>
      </c>
      <c r="C11" s="5" t="str">
        <f aca="false">LEFT(A11,2)</f>
        <v>BG</v>
      </c>
      <c r="D11" s="5" t="str">
        <f aca="false">IFERROR(INDEX('Code Tables'!$B$2:$B$20,MATCH(C11,'Code Tables'!$A$2:$A$20,0)),"?")</f>
        <v>Bags</v>
      </c>
      <c r="E11" s="2" t="s">
        <v>31</v>
      </c>
      <c r="F11" s="2" t="s">
        <v>65</v>
      </c>
      <c r="G11" s="5" t="n">
        <f aca="false">SUMIFS(SKUs!$O$2:$O$105,SKUs!$B$2:$B$105,A11)</f>
        <v>4</v>
      </c>
      <c r="H11" s="5" t="n">
        <f aca="false">COUNTIF(SKUs!$B$2:$B$105,A11)</f>
        <v>4</v>
      </c>
      <c r="I11" s="6" t="s">
        <v>66</v>
      </c>
    </row>
    <row r="12" customFormat="false" ht="15" hidden="false" customHeight="false" outlineLevel="0" collapsed="false">
      <c r="A12" s="2" t="s">
        <v>67</v>
      </c>
      <c r="B12" s="2" t="s">
        <v>68</v>
      </c>
      <c r="C12" s="5" t="str">
        <f aca="false">LEFT(A12,2)</f>
        <v>BG</v>
      </c>
      <c r="D12" s="5" t="str">
        <f aca="false">IFERROR(INDEX('Code Tables'!$B$2:$B$20,MATCH(C12,'Code Tables'!$A$2:$A$20,0)),"?")</f>
        <v>Bags</v>
      </c>
      <c r="E12" s="2" t="s">
        <v>31</v>
      </c>
      <c r="F12" s="2" t="s">
        <v>52</v>
      </c>
      <c r="G12" s="5" t="n">
        <f aca="false">SUMIFS(SKUs!$O$2:$O$105,SKUs!$B$2:$B$105,A12)</f>
        <v>1</v>
      </c>
      <c r="H12" s="5" t="n">
        <f aca="false">COUNTIF(SKUs!$B$2:$B$105,A12)</f>
        <v>1</v>
      </c>
      <c r="I12" s="6" t="s">
        <v>69</v>
      </c>
    </row>
    <row r="13" customFormat="false" ht="15" hidden="false" customHeight="false" outlineLevel="0" collapsed="false">
      <c r="A13" s="2" t="s">
        <v>70</v>
      </c>
      <c r="B13" s="2" t="s">
        <v>71</v>
      </c>
      <c r="C13" s="5" t="str">
        <f aca="false">LEFT(A13,2)</f>
        <v>AC</v>
      </c>
      <c r="D13" s="5" t="str">
        <f aca="false">IFERROR(INDEX('Code Tables'!$B$2:$B$20,MATCH(C13,'Code Tables'!$A$2:$A$20,0)),"?")</f>
        <v>Accessories</v>
      </c>
      <c r="E13" s="2" t="s">
        <v>31</v>
      </c>
      <c r="F13" s="2" t="s">
        <v>72</v>
      </c>
      <c r="G13" s="5" t="n">
        <f aca="false">SUMIFS(SKUs!$O$2:$O$105,SKUs!$B$2:$B$105,A13)</f>
        <v>1</v>
      </c>
      <c r="H13" s="5" t="n">
        <f aca="false">COUNTIF(SKUs!$B$2:$B$105,A13)</f>
        <v>4</v>
      </c>
      <c r="I13" s="6" t="s">
        <v>73</v>
      </c>
    </row>
    <row r="14" customFormat="false" ht="15" hidden="false" customHeight="false" outlineLevel="0" collapsed="false">
      <c r="A14" s="2" t="s">
        <v>74</v>
      </c>
      <c r="B14" s="2" t="s">
        <v>75</v>
      </c>
      <c r="C14" s="5" t="str">
        <f aca="false">LEFT(A14,2)</f>
        <v>AC</v>
      </c>
      <c r="D14" s="5" t="str">
        <f aca="false">IFERROR(INDEX('Code Tables'!$B$2:$B$20,MATCH(C14,'Code Tables'!$A$2:$A$20,0)),"?")</f>
        <v>Accessories</v>
      </c>
      <c r="E14" s="2" t="s">
        <v>31</v>
      </c>
      <c r="F14" s="2" t="s">
        <v>52</v>
      </c>
      <c r="G14" s="5" t="n">
        <f aca="false">SUMIFS(SKUs!$O$2:$O$105,SKUs!$B$2:$B$105,A14)</f>
        <v>6</v>
      </c>
      <c r="H14" s="5" t="n">
        <f aca="false">COUNTIF(SKUs!$B$2:$B$105,A14)</f>
        <v>6</v>
      </c>
      <c r="I14" s="6" t="s">
        <v>76</v>
      </c>
    </row>
    <row r="15" customFormat="false" ht="15" hidden="false" customHeight="false" outlineLevel="0" collapsed="false">
      <c r="A15" s="2" t="s">
        <v>77</v>
      </c>
      <c r="B15" s="2" t="s">
        <v>78</v>
      </c>
      <c r="C15" s="5" t="str">
        <f aca="false">LEFT(A15,2)</f>
        <v>AC</v>
      </c>
      <c r="D15" s="5" t="str">
        <f aca="false">IFERROR(INDEX('Code Tables'!$B$2:$B$20,MATCH(C15,'Code Tables'!$A$2:$A$20,0)),"?")</f>
        <v>Accessories</v>
      </c>
      <c r="E15" s="2" t="s">
        <v>31</v>
      </c>
      <c r="F15" s="2" t="s">
        <v>52</v>
      </c>
      <c r="G15" s="5" t="n">
        <f aca="false">SUMIFS(SKUs!$O$2:$O$105,SKUs!$B$2:$B$105,A15)</f>
        <v>1</v>
      </c>
      <c r="H15" s="5" t="n">
        <f aca="false">COUNTIF(SKUs!$B$2:$B$105,A15)</f>
        <v>1</v>
      </c>
      <c r="I15" s="6" t="s">
        <v>79</v>
      </c>
    </row>
    <row r="16" customFormat="false" ht="15" hidden="false" customHeight="false" outlineLevel="0" collapsed="false">
      <c r="A16" s="2" t="s">
        <v>80</v>
      </c>
      <c r="B16" s="2" t="s">
        <v>81</v>
      </c>
      <c r="C16" s="5" t="str">
        <f aca="false">LEFT(A16,2)</f>
        <v>AC</v>
      </c>
      <c r="D16" s="5" t="str">
        <f aca="false">IFERROR(INDEX('Code Tables'!$B$2:$B$20,MATCH(C16,'Code Tables'!$A$2:$A$20,0)),"?")</f>
        <v>Accessories</v>
      </c>
      <c r="E16" s="2" t="s">
        <v>31</v>
      </c>
      <c r="F16" s="2" t="s">
        <v>52</v>
      </c>
      <c r="G16" s="5" t="n">
        <f aca="false">SUMIFS(SKUs!$O$2:$O$105,SKUs!$B$2:$B$105,A16)</f>
        <v>2</v>
      </c>
      <c r="H16" s="5" t="n">
        <f aca="false">COUNTIF(SKUs!$B$2:$B$105,A16)</f>
        <v>2</v>
      </c>
      <c r="I16" s="6" t="s">
        <v>82</v>
      </c>
    </row>
    <row r="17" customFormat="false" ht="15" hidden="false" customHeight="false" outlineLevel="0" collapsed="false">
      <c r="A17" s="2" t="s">
        <v>83</v>
      </c>
      <c r="B17" s="2" t="s">
        <v>84</v>
      </c>
      <c r="C17" s="5" t="str">
        <f aca="false">LEFT(A17,2)</f>
        <v>PT</v>
      </c>
      <c r="D17" s="5" t="str">
        <f aca="false">IFERROR(INDEX('Code Tables'!$B$2:$B$20,MATCH(C17,'Code Tables'!$A$2:$A$20,0)),"?")</f>
        <v>Parts / Components</v>
      </c>
      <c r="E17" s="2" t="s">
        <v>36</v>
      </c>
      <c r="F17" s="2" t="s">
        <v>52</v>
      </c>
      <c r="G17" s="5" t="n">
        <f aca="false">SUMIFS(SKUs!$O$2:$O$105,SKUs!$B$2:$B$105,A17)</f>
        <v>1</v>
      </c>
      <c r="H17" s="5" t="n">
        <f aca="false">COUNTIF(SKUs!$B$2:$B$105,A17)</f>
        <v>1</v>
      </c>
      <c r="I17" s="6" t="s">
        <v>85</v>
      </c>
    </row>
    <row r="18" customFormat="false" ht="15" hidden="false" customHeight="false" outlineLevel="0" collapsed="false">
      <c r="A18" s="2" t="s">
        <v>86</v>
      </c>
      <c r="B18" s="2" t="s">
        <v>87</v>
      </c>
      <c r="C18" s="5" t="str">
        <f aca="false">LEFT(A18,2)</f>
        <v>PT</v>
      </c>
      <c r="D18" s="5" t="str">
        <f aca="false">IFERROR(INDEX('Code Tables'!$B$2:$B$20,MATCH(C18,'Code Tables'!$A$2:$A$20,0)),"?")</f>
        <v>Parts / Components</v>
      </c>
      <c r="E18" s="2" t="s">
        <v>36</v>
      </c>
      <c r="F18" s="2" t="s">
        <v>52</v>
      </c>
      <c r="G18" s="5" t="n">
        <f aca="false">SUMIFS(SKUs!$O$2:$O$105,SKUs!$B$2:$B$105,A18)</f>
        <v>1</v>
      </c>
      <c r="H18" s="5" t="n">
        <f aca="false">COUNTIF(SKUs!$B$2:$B$105,A18)</f>
        <v>1</v>
      </c>
      <c r="I18" s="6" t="s">
        <v>85</v>
      </c>
    </row>
    <row r="19" customFormat="false" ht="15" hidden="false" customHeight="false" outlineLevel="0" collapsed="false">
      <c r="A19" s="2" t="s">
        <v>88</v>
      </c>
      <c r="B19" s="2" t="s">
        <v>89</v>
      </c>
      <c r="C19" s="5" t="str">
        <f aca="false">LEFT(A19,2)</f>
        <v>OT</v>
      </c>
      <c r="D19" s="5" t="str">
        <f aca="false">IFERROR(INDEX('Code Tables'!$B$2:$B$20,MATCH(C19,'Code Tables'!$A$2:$A$20,0)),"?")</f>
        <v>Other</v>
      </c>
      <c r="E19" s="2" t="s">
        <v>31</v>
      </c>
      <c r="F19" s="2" t="s">
        <v>52</v>
      </c>
      <c r="G19" s="5" t="n">
        <f aca="false">SUMIFS(SKUs!$O$2:$O$105,SKUs!$B$2:$B$105,A19)</f>
        <v>1</v>
      </c>
      <c r="H19" s="5" t="n">
        <f aca="false">COUNTIF(SKUs!$B$2:$B$105,A19)</f>
        <v>1</v>
      </c>
      <c r="I19" s="6" t="s">
        <v>90</v>
      </c>
    </row>
    <row r="20" customFormat="false" ht="15" hidden="false" customHeight="false" outlineLevel="0" collapsed="false">
      <c r="A20" s="2" t="s">
        <v>91</v>
      </c>
      <c r="B20" s="2" t="s">
        <v>92</v>
      </c>
      <c r="C20" s="5" t="str">
        <f aca="false">LEFT(A20,2)</f>
        <v>IN</v>
      </c>
      <c r="D20" s="5" t="str">
        <f aca="false">IFERROR(INDEX('Code Tables'!$B$2:$B$20,MATCH(C20,'Code Tables'!$A$2:$A$20,0)),"?")</f>
        <v>Intimates</v>
      </c>
      <c r="E20" s="2" t="s">
        <v>93</v>
      </c>
      <c r="F20" s="2" t="s">
        <v>48</v>
      </c>
      <c r="G20" s="5" t="n">
        <f aca="false">SUMIFS(SKUs!$O$2:$O$105,SKUs!$B$2:$B$105,A20)</f>
        <v>2</v>
      </c>
      <c r="H20" s="5" t="n">
        <f aca="false">COUNTIF(SKUs!$B$2:$B$105,A20)</f>
        <v>10</v>
      </c>
      <c r="I20" s="6" t="s">
        <v>94</v>
      </c>
    </row>
    <row r="21" customFormat="false" ht="15" hidden="false" customHeight="false" outlineLevel="0" collapsed="false">
      <c r="A21" s="2" t="s">
        <v>95</v>
      </c>
      <c r="B21" s="2" t="s">
        <v>96</v>
      </c>
      <c r="C21" s="5" t="str">
        <f aca="false">LEFT(A21,2)</f>
        <v>TP</v>
      </c>
      <c r="D21" s="5" t="str">
        <f aca="false">IFERROR(INDEX('Code Tables'!$B$2:$B$20,MATCH(C21,'Code Tables'!$A$2:$A$20,0)),"?")</f>
        <v>Tops</v>
      </c>
      <c r="E21" s="2" t="s">
        <v>97</v>
      </c>
      <c r="F21" s="2" t="s">
        <v>98</v>
      </c>
      <c r="G21" s="5" t="n">
        <f aca="false">SUMIFS(SKUs!$O$2:$O$105,SKUs!$B$2:$B$105,A21)</f>
        <v>0</v>
      </c>
      <c r="H21" s="5" t="n">
        <f aca="false">COUNTIF(SKUs!$B$2:$B$105,A21)</f>
        <v>0</v>
      </c>
      <c r="I21" s="6" t="s">
        <v>99</v>
      </c>
    </row>
    <row r="22" customFormat="false" ht="15" hidden="false" customHeight="false" outlineLevel="0" collapsed="false">
      <c r="A22" s="2" t="s">
        <v>100</v>
      </c>
      <c r="B22" s="2" t="s">
        <v>101</v>
      </c>
      <c r="C22" s="5" t="str">
        <f aca="false">LEFT(A22,2)</f>
        <v>TP</v>
      </c>
      <c r="D22" s="5" t="str">
        <f aca="false">IFERROR(INDEX('Code Tables'!$B$2:$B$20,MATCH(C22,'Code Tables'!$A$2:$A$20,0)),"?")</f>
        <v>Tops</v>
      </c>
      <c r="E22" s="2" t="s">
        <v>97</v>
      </c>
      <c r="F22" s="2" t="s">
        <v>98</v>
      </c>
      <c r="G22" s="5" t="n">
        <f aca="false">SUMIFS(SKUs!$O$2:$O$105,SKUs!$B$2:$B$105,A22)</f>
        <v>0</v>
      </c>
      <c r="H22" s="5" t="n">
        <f aca="false">COUNTIF(SKUs!$B$2:$B$105,A22)</f>
        <v>0</v>
      </c>
      <c r="I22" s="6" t="s">
        <v>99</v>
      </c>
    </row>
    <row r="23" customFormat="false" ht="23.85" hidden="false" customHeight="false" outlineLevel="0" collapsed="false">
      <c r="A23" s="2" t="s">
        <v>102</v>
      </c>
      <c r="B23" s="2" t="s">
        <v>103</v>
      </c>
      <c r="C23" s="5" t="str">
        <f aca="false">LEFT(A23,2)</f>
        <v>TP</v>
      </c>
      <c r="D23" s="5" t="str">
        <f aca="false">IFERROR(INDEX('Code Tables'!$B$2:$B$20,MATCH(C23,'Code Tables'!$A$2:$A$20,0)),"?")</f>
        <v>Tops</v>
      </c>
      <c r="E23" s="2" t="s">
        <v>97</v>
      </c>
      <c r="F23" s="2" t="s">
        <v>98</v>
      </c>
      <c r="G23" s="5" t="n">
        <f aca="false">SUMIFS(SKUs!$O$2:$O$105,SKUs!$B$2:$B$105,A23)</f>
        <v>0</v>
      </c>
      <c r="H23" s="5" t="n">
        <f aca="false">COUNTIF(SKUs!$B$2:$B$105,A23)</f>
        <v>0</v>
      </c>
      <c r="I23" s="6" t="s">
        <v>104</v>
      </c>
    </row>
    <row r="24" customFormat="false" ht="15" hidden="false" customHeight="false" outlineLevel="0" collapsed="false">
      <c r="A24" s="2" t="s">
        <v>105</v>
      </c>
      <c r="B24" s="2" t="s">
        <v>106</v>
      </c>
      <c r="C24" s="5" t="str">
        <f aca="false">LEFT(A24,2)</f>
        <v>DR</v>
      </c>
      <c r="D24" s="5" t="str">
        <f aca="false">IFERROR(INDEX('Code Tables'!$B$2:$B$20,MATCH(C24,'Code Tables'!$A$2:$A$20,0)),"?")</f>
        <v>Dresses</v>
      </c>
      <c r="E24" s="2" t="s">
        <v>97</v>
      </c>
      <c r="F24" s="2" t="s">
        <v>98</v>
      </c>
      <c r="G24" s="5" t="n">
        <f aca="false">SUMIFS(SKUs!$O$2:$O$105,SKUs!$B$2:$B$105,A24)</f>
        <v>0</v>
      </c>
      <c r="H24" s="5" t="n">
        <f aca="false">COUNTIF(SKUs!$B$2:$B$105,A24)</f>
        <v>0</v>
      </c>
      <c r="I24" s="6" t="s">
        <v>99</v>
      </c>
    </row>
    <row r="25" customFormat="false" ht="15" hidden="false" customHeight="false" outlineLevel="0" collapsed="false">
      <c r="A25" s="2" t="s">
        <v>107</v>
      </c>
      <c r="B25" s="2" t="s">
        <v>108</v>
      </c>
      <c r="C25" s="5" t="str">
        <f aca="false">LEFT(A25,2)</f>
        <v>DR</v>
      </c>
      <c r="D25" s="5" t="str">
        <f aca="false">IFERROR(INDEX('Code Tables'!$B$2:$B$20,MATCH(C25,'Code Tables'!$A$2:$A$20,0)),"?")</f>
        <v>Dresses</v>
      </c>
      <c r="E25" s="2" t="s">
        <v>97</v>
      </c>
      <c r="F25" s="2" t="s">
        <v>98</v>
      </c>
      <c r="G25" s="5" t="n">
        <f aca="false">SUMIFS(SKUs!$O$2:$O$105,SKUs!$B$2:$B$105,A25)</f>
        <v>0</v>
      </c>
      <c r="H25" s="5" t="n">
        <f aca="false">COUNTIF(SKUs!$B$2:$B$105,A25)</f>
        <v>0</v>
      </c>
      <c r="I25" s="6" t="s">
        <v>109</v>
      </c>
    </row>
    <row r="26" customFormat="false" ht="15" hidden="false" customHeight="false" outlineLevel="0" collapsed="false">
      <c r="A26" s="2" t="s">
        <v>110</v>
      </c>
      <c r="B26" s="2" t="s">
        <v>111</v>
      </c>
      <c r="C26" s="5" t="str">
        <f aca="false">LEFT(A26,2)</f>
        <v>DR</v>
      </c>
      <c r="D26" s="5" t="str">
        <f aca="false">IFERROR(INDEX('Code Tables'!$B$2:$B$20,MATCH(C26,'Code Tables'!$A$2:$A$20,0)),"?")</f>
        <v>Dresses</v>
      </c>
      <c r="E26" s="2" t="s">
        <v>97</v>
      </c>
      <c r="F26" s="2" t="s">
        <v>98</v>
      </c>
      <c r="G26" s="5" t="n">
        <f aca="false">SUMIFS(SKUs!$O$2:$O$105,SKUs!$B$2:$B$105,A26)</f>
        <v>0</v>
      </c>
      <c r="H26" s="5" t="n">
        <f aca="false">COUNTIF(SKUs!$B$2:$B$105,A26)</f>
        <v>0</v>
      </c>
      <c r="I26" s="6" t="s">
        <v>109</v>
      </c>
    </row>
    <row r="27" customFormat="false" ht="15" hidden="false" customHeight="false" outlineLevel="0" collapsed="false">
      <c r="A27" s="2" t="s">
        <v>112</v>
      </c>
      <c r="B27" s="2" t="s">
        <v>113</v>
      </c>
      <c r="C27" s="5" t="str">
        <f aca="false">LEFT(A27,2)</f>
        <v>BT</v>
      </c>
      <c r="D27" s="5" t="str">
        <f aca="false">IFERROR(INDEX('Code Tables'!$B$2:$B$20,MATCH(C27,'Code Tables'!$A$2:$A$20,0)),"?")</f>
        <v>Bottoms</v>
      </c>
      <c r="E27" s="2" t="s">
        <v>97</v>
      </c>
      <c r="F27" s="2" t="s">
        <v>98</v>
      </c>
      <c r="G27" s="5" t="n">
        <f aca="false">SUMIFS(SKUs!$O$2:$O$105,SKUs!$B$2:$B$105,A27)</f>
        <v>0</v>
      </c>
      <c r="H27" s="5" t="n">
        <f aca="false">COUNTIF(SKUs!$B$2:$B$105,A27)</f>
        <v>0</v>
      </c>
      <c r="I27" s="6" t="s">
        <v>109</v>
      </c>
    </row>
    <row r="28" customFormat="false" ht="15" hidden="false" customHeight="false" outlineLevel="0" collapsed="false">
      <c r="A28" s="3" t="s">
        <v>114</v>
      </c>
      <c r="B28" s="3"/>
      <c r="C28" s="3"/>
      <c r="D28" s="3"/>
      <c r="E28" s="3"/>
      <c r="F28" s="3"/>
      <c r="G28" s="3" t="n">
        <f aca="false">SUM(G2:G27)</f>
        <v>55</v>
      </c>
      <c r="H28" s="3" t="n">
        <f aca="false">SUM(H2:H27)</f>
        <v>104</v>
      </c>
      <c r="I2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7"/>
    <col collapsed="false" customWidth="true" hidden="false" outlineLevel="0" max="5" min="5" style="0" width="18"/>
    <col collapsed="false" customWidth="true" hidden="false" outlineLevel="0" max="6" min="6" style="0" width="6"/>
    <col collapsed="false" customWidth="true" hidden="false" outlineLevel="0" max="7" min="7" style="0" width="13"/>
    <col collapsed="false" customWidth="true" hidden="false" outlineLevel="0" max="8" min="8" style="0" width="26"/>
    <col collapsed="false" customWidth="true" hidden="false" outlineLevel="0" max="9" min="9" style="0" width="20"/>
    <col collapsed="false" customWidth="true" hidden="false" outlineLevel="0" max="10" min="10" style="0" width="26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50"/>
    <col collapsed="false" customWidth="true" hidden="false" outlineLevel="0" max="15" min="15" style="0" width="10"/>
  </cols>
  <sheetData>
    <row r="1" customFormat="false" ht="23.85" hidden="false" customHeight="false" outlineLevel="0" collapsed="false">
      <c r="A1" s="4" t="s">
        <v>115</v>
      </c>
      <c r="B1" s="4" t="s">
        <v>20</v>
      </c>
      <c r="C1" s="4" t="s">
        <v>21</v>
      </c>
      <c r="D1" s="4" t="s">
        <v>116</v>
      </c>
      <c r="E1" s="4" t="s">
        <v>117</v>
      </c>
      <c r="F1" s="4" t="s">
        <v>118</v>
      </c>
      <c r="G1" s="4" t="s">
        <v>119</v>
      </c>
      <c r="H1" s="4" t="s">
        <v>120</v>
      </c>
      <c r="I1" s="4" t="s">
        <v>121</v>
      </c>
      <c r="J1" s="4" t="s">
        <v>122</v>
      </c>
      <c r="K1" s="4" t="s">
        <v>24</v>
      </c>
      <c r="L1" s="4" t="s">
        <v>123</v>
      </c>
      <c r="M1" s="4" t="s">
        <v>124</v>
      </c>
      <c r="N1" s="4" t="s">
        <v>28</v>
      </c>
      <c r="O1" s="4" t="s">
        <v>125</v>
      </c>
    </row>
    <row r="2" customFormat="false" ht="15" hidden="false" customHeight="false" outlineLevel="0" collapsed="false">
      <c r="A2" s="5" t="str">
        <f aca="false">B2&amp;"-"&amp;D2&amp;"-"&amp;F2</f>
        <v>TP101-BLK-01</v>
      </c>
      <c r="B2" s="2" t="s">
        <v>29</v>
      </c>
      <c r="C2" s="5" t="str">
        <f aca="false">IFERROR(INDEX(Styles!$B$2:$B$27,MATCH(B2,Styles!$A$2:$A$27,0)),"?")</f>
        <v>Cleo Tee</v>
      </c>
      <c r="D2" s="2" t="s">
        <v>126</v>
      </c>
      <c r="E2" s="5" t="str">
        <f aca="false">IFERROR(INDEX('Code Tables'!$E$2:$E$40,MATCH(D2,'Code Tables'!$D$2:$D$40,0)),"?")</f>
        <v>Black</v>
      </c>
      <c r="F2" s="7" t="s">
        <v>127</v>
      </c>
      <c r="G2" s="5" t="str">
        <f aca="false">IFERROR(INDEX('Code Tables'!$J$2:$J$20,MATCH(F2,'Code Tables'!$I$2:$I$20,0)),"?")</f>
        <v>Size 1</v>
      </c>
      <c r="H2" s="2" t="s">
        <v>128</v>
      </c>
      <c r="I2" s="2" t="s">
        <v>129</v>
      </c>
      <c r="J2" s="2" t="s">
        <v>130</v>
      </c>
      <c r="K2" s="2" t="s">
        <v>31</v>
      </c>
      <c r="L2" s="2" t="s">
        <v>131</v>
      </c>
      <c r="M2" s="5" t="str">
        <f aca="false">IF(COUNTIF($A$2:$A$105,A2)&gt;1,"DUPLICATE",IF(ISNA(MATCH(B2,Styles!$A$2:$A$27,0)),"BAD STYLE",IF(ISNA(MATCH(D2,'Code Tables'!$D$2:$D$40,0)),"BAD COLOR",IF(ISNA(MATCH(F2,'Code Tables'!$I$2:$I$20,0)),"BAD SIZE","ok"))))</f>
        <v>ok</v>
      </c>
      <c r="N2" s="2"/>
      <c r="O2" s="5" t="n">
        <f aca="false">IF(COUNTIFS($B$2:B2,B2,$D$2:D2,D2)=1,1,0)</f>
        <v>1</v>
      </c>
    </row>
    <row r="3" customFormat="false" ht="15" hidden="false" customHeight="false" outlineLevel="0" collapsed="false">
      <c r="A3" s="5" t="str">
        <f aca="false">B3&amp;"-"&amp;D3&amp;"-"&amp;F3</f>
        <v>TP101-BLK-02</v>
      </c>
      <c r="B3" s="2" t="s">
        <v>29</v>
      </c>
      <c r="C3" s="5" t="str">
        <f aca="false">IFERROR(INDEX(Styles!$B$2:$B$27,MATCH(B3,Styles!$A$2:$A$27,0)),"?")</f>
        <v>Cleo Tee</v>
      </c>
      <c r="D3" s="2" t="s">
        <v>126</v>
      </c>
      <c r="E3" s="5" t="str">
        <f aca="false">IFERROR(INDEX('Code Tables'!$E$2:$E$40,MATCH(D3,'Code Tables'!$D$2:$D$40,0)),"?")</f>
        <v>Black</v>
      </c>
      <c r="F3" s="7" t="s">
        <v>132</v>
      </c>
      <c r="G3" s="5" t="str">
        <f aca="false">IFERROR(INDEX('Code Tables'!$J$2:$J$20,MATCH(F3,'Code Tables'!$I$2:$I$20,0)),"?")</f>
        <v>Size 2</v>
      </c>
      <c r="H3" s="2" t="s">
        <v>128</v>
      </c>
      <c r="I3" s="2" t="s">
        <v>133</v>
      </c>
      <c r="J3" s="2" t="s">
        <v>134</v>
      </c>
      <c r="K3" s="2" t="s">
        <v>31</v>
      </c>
      <c r="L3" s="2" t="s">
        <v>131</v>
      </c>
      <c r="M3" s="5" t="str">
        <f aca="false">IF(COUNTIF($A$2:$A$105,A3)&gt;1,"DUPLICATE",IF(ISNA(MATCH(B3,Styles!$A$2:$A$27,0)),"BAD STYLE",IF(ISNA(MATCH(D3,'Code Tables'!$D$2:$D$40,0)),"BAD COLOR",IF(ISNA(MATCH(F3,'Code Tables'!$I$2:$I$20,0)),"BAD SIZE","ok"))))</f>
        <v>ok</v>
      </c>
      <c r="N3" s="2"/>
      <c r="O3" s="5" t="n">
        <f aca="false">IF(COUNTIFS($B$2:B3,B3,$D$2:D3,D3)=1,1,0)</f>
        <v>0</v>
      </c>
    </row>
    <row r="4" customFormat="false" ht="15" hidden="false" customHeight="false" outlineLevel="0" collapsed="false">
      <c r="A4" s="5" t="str">
        <f aca="false">B4&amp;"-"&amp;D4&amp;"-"&amp;F4</f>
        <v>TP101-BLK-03</v>
      </c>
      <c r="B4" s="2" t="s">
        <v>29</v>
      </c>
      <c r="C4" s="5" t="str">
        <f aca="false">IFERROR(INDEX(Styles!$B$2:$B$27,MATCH(B4,Styles!$A$2:$A$27,0)),"?")</f>
        <v>Cleo Tee</v>
      </c>
      <c r="D4" s="2" t="s">
        <v>126</v>
      </c>
      <c r="E4" s="5" t="str">
        <f aca="false">IFERROR(INDEX('Code Tables'!$E$2:$E$40,MATCH(D4,'Code Tables'!$D$2:$D$40,0)),"?")</f>
        <v>Black</v>
      </c>
      <c r="F4" s="7" t="s">
        <v>135</v>
      </c>
      <c r="G4" s="5" t="str">
        <f aca="false">IFERROR(INDEX('Code Tables'!$J$2:$J$20,MATCH(F4,'Code Tables'!$I$2:$I$20,0)),"?")</f>
        <v>Size 3</v>
      </c>
      <c r="H4" s="2" t="s">
        <v>128</v>
      </c>
      <c r="I4" s="2" t="s">
        <v>136</v>
      </c>
      <c r="J4" s="2" t="s">
        <v>137</v>
      </c>
      <c r="K4" s="2" t="s">
        <v>31</v>
      </c>
      <c r="L4" s="2" t="s">
        <v>131</v>
      </c>
      <c r="M4" s="5" t="str">
        <f aca="false">IF(COUNTIF($A$2:$A$105,A4)&gt;1,"DUPLICATE",IF(ISNA(MATCH(B4,Styles!$A$2:$A$27,0)),"BAD STYLE",IF(ISNA(MATCH(D4,'Code Tables'!$D$2:$D$40,0)),"BAD COLOR",IF(ISNA(MATCH(F4,'Code Tables'!$I$2:$I$20,0)),"BAD SIZE","ok"))))</f>
        <v>ok</v>
      </c>
      <c r="N4" s="2"/>
      <c r="O4" s="5" t="n">
        <f aca="false">IF(COUNTIFS($B$2:B4,B4,$D$2:D4,D4)=1,1,0)</f>
        <v>0</v>
      </c>
    </row>
    <row r="5" customFormat="false" ht="15" hidden="false" customHeight="false" outlineLevel="0" collapsed="false">
      <c r="A5" s="5" t="str">
        <f aca="false">B5&amp;"-"&amp;D5&amp;"-"&amp;F5</f>
        <v>TP101-WHT-01</v>
      </c>
      <c r="B5" s="2" t="s">
        <v>29</v>
      </c>
      <c r="C5" s="5" t="str">
        <f aca="false">IFERROR(INDEX(Styles!$B$2:$B$27,MATCH(B5,Styles!$A$2:$A$27,0)),"?")</f>
        <v>Cleo Tee</v>
      </c>
      <c r="D5" s="2" t="s">
        <v>138</v>
      </c>
      <c r="E5" s="5" t="str">
        <f aca="false">IFERROR(INDEX('Code Tables'!$E$2:$E$40,MATCH(D5,'Code Tables'!$D$2:$D$40,0)),"?")</f>
        <v>White</v>
      </c>
      <c r="F5" s="7" t="s">
        <v>127</v>
      </c>
      <c r="G5" s="5" t="str">
        <f aca="false">IFERROR(INDEX('Code Tables'!$J$2:$J$20,MATCH(F5,'Code Tables'!$I$2:$I$20,0)),"?")</f>
        <v>Size 1</v>
      </c>
      <c r="H5" s="2" t="s">
        <v>128</v>
      </c>
      <c r="I5" s="2" t="s">
        <v>139</v>
      </c>
      <c r="J5" s="2" t="s">
        <v>140</v>
      </c>
      <c r="K5" s="2" t="s">
        <v>31</v>
      </c>
      <c r="L5" s="2" t="s">
        <v>131</v>
      </c>
      <c r="M5" s="5" t="str">
        <f aca="false">IF(COUNTIF($A$2:$A$105,A5)&gt;1,"DUPLICATE",IF(ISNA(MATCH(B5,Styles!$A$2:$A$27,0)),"BAD STYLE",IF(ISNA(MATCH(D5,'Code Tables'!$D$2:$D$40,0)),"BAD COLOR",IF(ISNA(MATCH(F5,'Code Tables'!$I$2:$I$20,0)),"BAD SIZE","ok"))))</f>
        <v>ok</v>
      </c>
      <c r="N5" s="2"/>
      <c r="O5" s="5" t="n">
        <f aca="false">IF(COUNTIFS($B$2:B5,B5,$D$2:D5,D5)=1,1,0)</f>
        <v>1</v>
      </c>
    </row>
    <row r="6" customFormat="false" ht="15" hidden="false" customHeight="false" outlineLevel="0" collapsed="false">
      <c r="A6" s="5" t="str">
        <f aca="false">B6&amp;"-"&amp;D6&amp;"-"&amp;F6</f>
        <v>TP101-WHT-02</v>
      </c>
      <c r="B6" s="2" t="s">
        <v>29</v>
      </c>
      <c r="C6" s="5" t="str">
        <f aca="false">IFERROR(INDEX(Styles!$B$2:$B$27,MATCH(B6,Styles!$A$2:$A$27,0)),"?")</f>
        <v>Cleo Tee</v>
      </c>
      <c r="D6" s="2" t="s">
        <v>138</v>
      </c>
      <c r="E6" s="5" t="str">
        <f aca="false">IFERROR(INDEX('Code Tables'!$E$2:$E$40,MATCH(D6,'Code Tables'!$D$2:$D$40,0)),"?")</f>
        <v>White</v>
      </c>
      <c r="F6" s="7" t="s">
        <v>132</v>
      </c>
      <c r="G6" s="5" t="str">
        <f aca="false">IFERROR(INDEX('Code Tables'!$J$2:$J$20,MATCH(F6,'Code Tables'!$I$2:$I$20,0)),"?")</f>
        <v>Size 2</v>
      </c>
      <c r="H6" s="2" t="s">
        <v>128</v>
      </c>
      <c r="I6" s="2" t="s">
        <v>141</v>
      </c>
      <c r="J6" s="2" t="s">
        <v>142</v>
      </c>
      <c r="K6" s="2" t="s">
        <v>31</v>
      </c>
      <c r="L6" s="2" t="s">
        <v>131</v>
      </c>
      <c r="M6" s="5" t="str">
        <f aca="false">IF(COUNTIF($A$2:$A$105,A6)&gt;1,"DUPLICATE",IF(ISNA(MATCH(B6,Styles!$A$2:$A$27,0)),"BAD STYLE",IF(ISNA(MATCH(D6,'Code Tables'!$D$2:$D$40,0)),"BAD COLOR",IF(ISNA(MATCH(F6,'Code Tables'!$I$2:$I$20,0)),"BAD SIZE","ok"))))</f>
        <v>ok</v>
      </c>
      <c r="N6" s="2"/>
      <c r="O6" s="5" t="n">
        <f aca="false">IF(COUNTIFS($B$2:B6,B6,$D$2:D6,D6)=1,1,0)</f>
        <v>0</v>
      </c>
    </row>
    <row r="7" customFormat="false" ht="15" hidden="false" customHeight="false" outlineLevel="0" collapsed="false">
      <c r="A7" s="5" t="str">
        <f aca="false">B7&amp;"-"&amp;D7&amp;"-"&amp;F7</f>
        <v>TP101-WHT-03</v>
      </c>
      <c r="B7" s="2" t="s">
        <v>29</v>
      </c>
      <c r="C7" s="5" t="str">
        <f aca="false">IFERROR(INDEX(Styles!$B$2:$B$27,MATCH(B7,Styles!$A$2:$A$27,0)),"?")</f>
        <v>Cleo Tee</v>
      </c>
      <c r="D7" s="2" t="s">
        <v>138</v>
      </c>
      <c r="E7" s="5" t="str">
        <f aca="false">IFERROR(INDEX('Code Tables'!$E$2:$E$40,MATCH(D7,'Code Tables'!$D$2:$D$40,0)),"?")</f>
        <v>White</v>
      </c>
      <c r="F7" s="7" t="s">
        <v>135</v>
      </c>
      <c r="G7" s="5" t="str">
        <f aca="false">IFERROR(INDEX('Code Tables'!$J$2:$J$20,MATCH(F7,'Code Tables'!$I$2:$I$20,0)),"?")</f>
        <v>Size 3</v>
      </c>
      <c r="H7" s="2" t="s">
        <v>128</v>
      </c>
      <c r="I7" s="2" t="s">
        <v>143</v>
      </c>
      <c r="J7" s="2" t="s">
        <v>144</v>
      </c>
      <c r="K7" s="2" t="s">
        <v>31</v>
      </c>
      <c r="L7" s="2" t="s">
        <v>131</v>
      </c>
      <c r="M7" s="5" t="str">
        <f aca="false">IF(COUNTIF($A$2:$A$105,A7)&gt;1,"DUPLICATE",IF(ISNA(MATCH(B7,Styles!$A$2:$A$27,0)),"BAD STYLE",IF(ISNA(MATCH(D7,'Code Tables'!$D$2:$D$40,0)),"BAD COLOR",IF(ISNA(MATCH(F7,'Code Tables'!$I$2:$I$20,0)),"BAD SIZE","ok"))))</f>
        <v>ok</v>
      </c>
      <c r="N7" s="2"/>
      <c r="O7" s="5" t="n">
        <f aca="false">IF(COUNTIFS($B$2:B7,B7,$D$2:D7,D7)=1,1,0)</f>
        <v>0</v>
      </c>
    </row>
    <row r="8" customFormat="false" ht="15" hidden="false" customHeight="false" outlineLevel="0" collapsed="false">
      <c r="A8" s="5" t="str">
        <f aca="false">B8&amp;"-"&amp;D8&amp;"-"&amp;F8</f>
        <v>TP101-BER-01</v>
      </c>
      <c r="B8" s="2" t="s">
        <v>29</v>
      </c>
      <c r="C8" s="5" t="str">
        <f aca="false">IFERROR(INDEX(Styles!$B$2:$B$27,MATCH(B8,Styles!$A$2:$A$27,0)),"?")</f>
        <v>Cleo Tee</v>
      </c>
      <c r="D8" s="2" t="s">
        <v>145</v>
      </c>
      <c r="E8" s="5" t="str">
        <f aca="false">IFERROR(INDEX('Code Tables'!$E$2:$E$40,MATCH(D8,'Code Tables'!$D$2:$D$40,0)),"?")</f>
        <v>Blackberry</v>
      </c>
      <c r="F8" s="7" t="s">
        <v>127</v>
      </c>
      <c r="G8" s="5" t="str">
        <f aca="false">IFERROR(INDEX('Code Tables'!$J$2:$J$20,MATCH(F8,'Code Tables'!$I$2:$I$20,0)),"?")</f>
        <v>Size 1</v>
      </c>
      <c r="H8" s="2" t="s">
        <v>146</v>
      </c>
      <c r="I8" s="2" t="s">
        <v>147</v>
      </c>
      <c r="J8" s="2" t="s">
        <v>148</v>
      </c>
      <c r="K8" s="2" t="s">
        <v>149</v>
      </c>
      <c r="L8" s="2" t="s">
        <v>150</v>
      </c>
      <c r="M8" s="5" t="str">
        <f aca="false">IF(COUNTIF($A$2:$A$105,A8)&gt;1,"DUPLICATE",IF(ISNA(MATCH(B8,Styles!$A$2:$A$27,0)),"BAD STYLE",IF(ISNA(MATCH(D8,'Code Tables'!$D$2:$D$40,0)),"BAD COLOR",IF(ISNA(MATCH(F8,'Code Tables'!$I$2:$I$20,0)),"BAD SIZE","ok"))))</f>
        <v>ok</v>
      </c>
      <c r="N8" s="2"/>
      <c r="O8" s="5" t="n">
        <f aca="false">IF(COUNTIFS($B$2:B8,B8,$D$2:D8,D8)=1,1,0)</f>
        <v>1</v>
      </c>
    </row>
    <row r="9" customFormat="false" ht="15" hidden="false" customHeight="false" outlineLevel="0" collapsed="false">
      <c r="A9" s="5" t="str">
        <f aca="false">B9&amp;"-"&amp;D9&amp;"-"&amp;F9</f>
        <v>TP101-BER-02</v>
      </c>
      <c r="B9" s="2" t="s">
        <v>29</v>
      </c>
      <c r="C9" s="5" t="str">
        <f aca="false">IFERROR(INDEX(Styles!$B$2:$B$27,MATCH(B9,Styles!$A$2:$A$27,0)),"?")</f>
        <v>Cleo Tee</v>
      </c>
      <c r="D9" s="2" t="s">
        <v>145</v>
      </c>
      <c r="E9" s="5" t="str">
        <f aca="false">IFERROR(INDEX('Code Tables'!$E$2:$E$40,MATCH(D9,'Code Tables'!$D$2:$D$40,0)),"?")</f>
        <v>Blackberry</v>
      </c>
      <c r="F9" s="7" t="s">
        <v>132</v>
      </c>
      <c r="G9" s="5" t="str">
        <f aca="false">IFERROR(INDEX('Code Tables'!$J$2:$J$20,MATCH(F9,'Code Tables'!$I$2:$I$20,0)),"?")</f>
        <v>Size 2</v>
      </c>
      <c r="H9" s="2" t="s">
        <v>146</v>
      </c>
      <c r="I9" s="2" t="s">
        <v>151</v>
      </c>
      <c r="J9" s="2" t="s">
        <v>152</v>
      </c>
      <c r="K9" s="2" t="s">
        <v>149</v>
      </c>
      <c r="L9" s="2" t="s">
        <v>150</v>
      </c>
      <c r="M9" s="5" t="str">
        <f aca="false">IF(COUNTIF($A$2:$A$105,A9)&gt;1,"DUPLICATE",IF(ISNA(MATCH(B9,Styles!$A$2:$A$27,0)),"BAD STYLE",IF(ISNA(MATCH(D9,'Code Tables'!$D$2:$D$40,0)),"BAD COLOR",IF(ISNA(MATCH(F9,'Code Tables'!$I$2:$I$20,0)),"BAD SIZE","ok"))))</f>
        <v>ok</v>
      </c>
      <c r="N9" s="2"/>
      <c r="O9" s="5" t="n">
        <f aca="false">IF(COUNTIFS($B$2:B9,B9,$D$2:D9,D9)=1,1,0)</f>
        <v>0</v>
      </c>
    </row>
    <row r="10" customFormat="false" ht="15" hidden="false" customHeight="false" outlineLevel="0" collapsed="false">
      <c r="A10" s="5" t="str">
        <f aca="false">B10&amp;"-"&amp;D10&amp;"-"&amp;F10</f>
        <v>TP101-BER-03</v>
      </c>
      <c r="B10" s="2" t="s">
        <v>29</v>
      </c>
      <c r="C10" s="5" t="str">
        <f aca="false">IFERROR(INDEX(Styles!$B$2:$B$27,MATCH(B10,Styles!$A$2:$A$27,0)),"?")</f>
        <v>Cleo Tee</v>
      </c>
      <c r="D10" s="2" t="s">
        <v>145</v>
      </c>
      <c r="E10" s="5" t="str">
        <f aca="false">IFERROR(INDEX('Code Tables'!$E$2:$E$40,MATCH(D10,'Code Tables'!$D$2:$D$40,0)),"?")</f>
        <v>Blackberry</v>
      </c>
      <c r="F10" s="7" t="s">
        <v>135</v>
      </c>
      <c r="G10" s="5" t="str">
        <f aca="false">IFERROR(INDEX('Code Tables'!$J$2:$J$20,MATCH(F10,'Code Tables'!$I$2:$I$20,0)),"?")</f>
        <v>Size 3</v>
      </c>
      <c r="H10" s="2" t="s">
        <v>146</v>
      </c>
      <c r="I10" s="2" t="s">
        <v>153</v>
      </c>
      <c r="J10" s="2" t="s">
        <v>154</v>
      </c>
      <c r="K10" s="2" t="s">
        <v>149</v>
      </c>
      <c r="L10" s="2" t="s">
        <v>150</v>
      </c>
      <c r="M10" s="5" t="str">
        <f aca="false">IF(COUNTIF($A$2:$A$105,A10)&gt;1,"DUPLICATE",IF(ISNA(MATCH(B10,Styles!$A$2:$A$27,0)),"BAD STYLE",IF(ISNA(MATCH(D10,'Code Tables'!$D$2:$D$40,0)),"BAD COLOR",IF(ISNA(MATCH(F10,'Code Tables'!$I$2:$I$20,0)),"BAD SIZE","ok"))))</f>
        <v>ok</v>
      </c>
      <c r="N10" s="2"/>
      <c r="O10" s="5" t="n">
        <f aca="false">IF(COUNTIFS($B$2:B10,B10,$D$2:D10,D10)=1,1,0)</f>
        <v>0</v>
      </c>
    </row>
    <row r="11" customFormat="false" ht="15" hidden="false" customHeight="false" outlineLevel="0" collapsed="false">
      <c r="A11" s="5" t="str">
        <f aca="false">B11&amp;"-"&amp;D11&amp;"-"&amp;F11</f>
        <v>TP101-HPK-01</v>
      </c>
      <c r="B11" s="2" t="s">
        <v>29</v>
      </c>
      <c r="C11" s="5" t="str">
        <f aca="false">IFERROR(INDEX(Styles!$B$2:$B$27,MATCH(B11,Styles!$A$2:$A$27,0)),"?")</f>
        <v>Cleo Tee</v>
      </c>
      <c r="D11" s="2" t="s">
        <v>155</v>
      </c>
      <c r="E11" s="5" t="str">
        <f aca="false">IFERROR(INDEX('Code Tables'!$E$2:$E$40,MATCH(D11,'Code Tables'!$D$2:$D$40,0)),"?")</f>
        <v>Hot Pink</v>
      </c>
      <c r="F11" s="7" t="s">
        <v>127</v>
      </c>
      <c r="G11" s="5" t="str">
        <f aca="false">IFERROR(INDEX('Code Tables'!$J$2:$J$20,MATCH(F11,'Code Tables'!$I$2:$I$20,0)),"?")</f>
        <v>Size 1</v>
      </c>
      <c r="H11" s="2" t="s">
        <v>156</v>
      </c>
      <c r="I11" s="2" t="s">
        <v>157</v>
      </c>
      <c r="J11" s="2"/>
      <c r="K11" s="2" t="s">
        <v>31</v>
      </c>
      <c r="L11" s="2"/>
      <c r="M11" s="5" t="str">
        <f aca="false">IF(COUNTIF($A$2:$A$105,A11)&gt;1,"DUPLICATE",IF(ISNA(MATCH(B11,Styles!$A$2:$A$27,0)),"BAD STYLE",IF(ISNA(MATCH(D11,'Code Tables'!$D$2:$D$40,0)),"BAD COLOR",IF(ISNA(MATCH(F11,'Code Tables'!$I$2:$I$20,0)),"BAD SIZE","ok"))))</f>
        <v>ok</v>
      </c>
      <c r="N11" s="2"/>
      <c r="O11" s="5" t="n">
        <f aca="false">IF(COUNTIFS($B$2:B11,B11,$D$2:D11,D11)=1,1,0)</f>
        <v>1</v>
      </c>
    </row>
    <row r="12" customFormat="false" ht="15" hidden="false" customHeight="false" outlineLevel="0" collapsed="false">
      <c r="A12" s="5" t="str">
        <f aca="false">B12&amp;"-"&amp;D12&amp;"-"&amp;F12</f>
        <v>TP101-HPK-02</v>
      </c>
      <c r="B12" s="2" t="s">
        <v>29</v>
      </c>
      <c r="C12" s="5" t="str">
        <f aca="false">IFERROR(INDEX(Styles!$B$2:$B$27,MATCH(B12,Styles!$A$2:$A$27,0)),"?")</f>
        <v>Cleo Tee</v>
      </c>
      <c r="D12" s="2" t="s">
        <v>155</v>
      </c>
      <c r="E12" s="5" t="str">
        <f aca="false">IFERROR(INDEX('Code Tables'!$E$2:$E$40,MATCH(D12,'Code Tables'!$D$2:$D$40,0)),"?")</f>
        <v>Hot Pink</v>
      </c>
      <c r="F12" s="7" t="s">
        <v>132</v>
      </c>
      <c r="G12" s="5" t="str">
        <f aca="false">IFERROR(INDEX('Code Tables'!$J$2:$J$20,MATCH(F12,'Code Tables'!$I$2:$I$20,0)),"?")</f>
        <v>Size 2</v>
      </c>
      <c r="H12" s="2" t="s">
        <v>156</v>
      </c>
      <c r="I12" s="2" t="s">
        <v>158</v>
      </c>
      <c r="J12" s="2"/>
      <c r="K12" s="2" t="s">
        <v>31</v>
      </c>
      <c r="L12" s="2"/>
      <c r="M12" s="5" t="str">
        <f aca="false">IF(COUNTIF($A$2:$A$105,A12)&gt;1,"DUPLICATE",IF(ISNA(MATCH(B12,Styles!$A$2:$A$27,0)),"BAD STYLE",IF(ISNA(MATCH(D12,'Code Tables'!$D$2:$D$40,0)),"BAD COLOR",IF(ISNA(MATCH(F12,'Code Tables'!$I$2:$I$20,0)),"BAD SIZE","ok"))))</f>
        <v>ok</v>
      </c>
      <c r="N12" s="2"/>
      <c r="O12" s="5" t="n">
        <f aca="false">IF(COUNTIFS($B$2:B12,B12,$D$2:D12,D12)=1,1,0)</f>
        <v>0</v>
      </c>
    </row>
    <row r="13" customFormat="false" ht="15" hidden="false" customHeight="false" outlineLevel="0" collapsed="false">
      <c r="A13" s="5" t="str">
        <f aca="false">B13&amp;"-"&amp;D13&amp;"-"&amp;F13</f>
        <v>TP101-HPK-03</v>
      </c>
      <c r="B13" s="2" t="s">
        <v>29</v>
      </c>
      <c r="C13" s="5" t="str">
        <f aca="false">IFERROR(INDEX(Styles!$B$2:$B$27,MATCH(B13,Styles!$A$2:$A$27,0)),"?")</f>
        <v>Cleo Tee</v>
      </c>
      <c r="D13" s="2" t="s">
        <v>155</v>
      </c>
      <c r="E13" s="5" t="str">
        <f aca="false">IFERROR(INDEX('Code Tables'!$E$2:$E$40,MATCH(D13,'Code Tables'!$D$2:$D$40,0)),"?")</f>
        <v>Hot Pink</v>
      </c>
      <c r="F13" s="7" t="s">
        <v>135</v>
      </c>
      <c r="G13" s="5" t="str">
        <f aca="false">IFERROR(INDEX('Code Tables'!$J$2:$J$20,MATCH(F13,'Code Tables'!$I$2:$I$20,0)),"?")</f>
        <v>Size 3</v>
      </c>
      <c r="H13" s="2" t="s">
        <v>156</v>
      </c>
      <c r="I13" s="2" t="s">
        <v>159</v>
      </c>
      <c r="J13" s="2"/>
      <c r="K13" s="2" t="s">
        <v>31</v>
      </c>
      <c r="L13" s="2"/>
      <c r="M13" s="5" t="str">
        <f aca="false">IF(COUNTIF($A$2:$A$105,A13)&gt;1,"DUPLICATE",IF(ISNA(MATCH(B13,Styles!$A$2:$A$27,0)),"BAD STYLE",IF(ISNA(MATCH(D13,'Code Tables'!$D$2:$D$40,0)),"BAD COLOR",IF(ISNA(MATCH(F13,'Code Tables'!$I$2:$I$20,0)),"BAD SIZE","ok"))))</f>
        <v>ok</v>
      </c>
      <c r="N13" s="2"/>
      <c r="O13" s="5" t="n">
        <f aca="false">IF(COUNTIFS($B$2:B13,B13,$D$2:D13,D13)=1,1,0)</f>
        <v>0</v>
      </c>
    </row>
    <row r="14" customFormat="false" ht="15" hidden="false" customHeight="false" outlineLevel="0" collapsed="false">
      <c r="A14" s="5" t="str">
        <f aca="false">B14&amp;"-"&amp;D14&amp;"-"&amp;F14</f>
        <v>TP101-SPS-01</v>
      </c>
      <c r="B14" s="2" t="s">
        <v>29</v>
      </c>
      <c r="C14" s="5" t="str">
        <f aca="false">IFERROR(INDEX(Styles!$B$2:$B$27,MATCH(B14,Styles!$A$2:$A$27,0)),"?")</f>
        <v>Cleo Tee</v>
      </c>
      <c r="D14" s="2" t="s">
        <v>160</v>
      </c>
      <c r="E14" s="5" t="str">
        <f aca="false">IFERROR(INDEX('Code Tables'!$E$2:$E$40,MATCH(D14,'Code Tables'!$D$2:$D$40,0)),"?")</f>
        <v>Splash</v>
      </c>
      <c r="F14" s="7" t="s">
        <v>127</v>
      </c>
      <c r="G14" s="5" t="str">
        <f aca="false">IFERROR(INDEX('Code Tables'!$J$2:$J$20,MATCH(F14,'Code Tables'!$I$2:$I$20,0)),"?")</f>
        <v>Size 1</v>
      </c>
      <c r="H14" s="2" t="s">
        <v>161</v>
      </c>
      <c r="I14" s="2" t="s">
        <v>162</v>
      </c>
      <c r="J14" s="2" t="s">
        <v>163</v>
      </c>
      <c r="K14" s="2" t="s">
        <v>31</v>
      </c>
      <c r="L14" s="2" t="s">
        <v>164</v>
      </c>
      <c r="M14" s="5" t="str">
        <f aca="false">IF(COUNTIF($A$2:$A$105,A14)&gt;1,"DUPLICATE",IF(ISNA(MATCH(B14,Styles!$A$2:$A$27,0)),"BAD STYLE",IF(ISNA(MATCH(D14,'Code Tables'!$D$2:$D$40,0)),"BAD COLOR",IF(ISNA(MATCH(F14,'Code Tables'!$I$2:$I$20,0)),"BAD SIZE","ok"))))</f>
        <v>ok</v>
      </c>
      <c r="N14" s="2"/>
      <c r="O14" s="5" t="n">
        <f aca="false">IF(COUNTIFS($B$2:B14,B14,$D$2:D14,D14)=1,1,0)</f>
        <v>1</v>
      </c>
    </row>
    <row r="15" customFormat="false" ht="15" hidden="false" customHeight="false" outlineLevel="0" collapsed="false">
      <c r="A15" s="5" t="str">
        <f aca="false">B15&amp;"-"&amp;D15&amp;"-"&amp;F15</f>
        <v>TP101-SPS-02</v>
      </c>
      <c r="B15" s="2" t="s">
        <v>29</v>
      </c>
      <c r="C15" s="5" t="str">
        <f aca="false">IFERROR(INDEX(Styles!$B$2:$B$27,MATCH(B15,Styles!$A$2:$A$27,0)),"?")</f>
        <v>Cleo Tee</v>
      </c>
      <c r="D15" s="2" t="s">
        <v>160</v>
      </c>
      <c r="E15" s="5" t="str">
        <f aca="false">IFERROR(INDEX('Code Tables'!$E$2:$E$40,MATCH(D15,'Code Tables'!$D$2:$D$40,0)),"?")</f>
        <v>Splash</v>
      </c>
      <c r="F15" s="7" t="s">
        <v>132</v>
      </c>
      <c r="G15" s="5" t="str">
        <f aca="false">IFERROR(INDEX('Code Tables'!$J$2:$J$20,MATCH(F15,'Code Tables'!$I$2:$I$20,0)),"?")</f>
        <v>Size 2</v>
      </c>
      <c r="H15" s="2" t="s">
        <v>161</v>
      </c>
      <c r="I15" s="2" t="s">
        <v>165</v>
      </c>
      <c r="J15" s="2" t="s">
        <v>166</v>
      </c>
      <c r="K15" s="2" t="s">
        <v>31</v>
      </c>
      <c r="L15" s="2" t="s">
        <v>164</v>
      </c>
      <c r="M15" s="5" t="str">
        <f aca="false">IF(COUNTIF($A$2:$A$105,A15)&gt;1,"DUPLICATE",IF(ISNA(MATCH(B15,Styles!$A$2:$A$27,0)),"BAD STYLE",IF(ISNA(MATCH(D15,'Code Tables'!$D$2:$D$40,0)),"BAD COLOR",IF(ISNA(MATCH(F15,'Code Tables'!$I$2:$I$20,0)),"BAD SIZE","ok"))))</f>
        <v>ok</v>
      </c>
      <c r="N15" s="2"/>
      <c r="O15" s="5" t="n">
        <f aca="false">IF(COUNTIFS($B$2:B15,B15,$D$2:D15,D15)=1,1,0)</f>
        <v>0</v>
      </c>
    </row>
    <row r="16" customFormat="false" ht="15" hidden="false" customHeight="false" outlineLevel="0" collapsed="false">
      <c r="A16" s="5" t="str">
        <f aca="false">B16&amp;"-"&amp;D16&amp;"-"&amp;F16</f>
        <v>TP101-SPS-03</v>
      </c>
      <c r="B16" s="2" t="s">
        <v>29</v>
      </c>
      <c r="C16" s="5" t="str">
        <f aca="false">IFERROR(INDEX(Styles!$B$2:$B$27,MATCH(B16,Styles!$A$2:$A$27,0)),"?")</f>
        <v>Cleo Tee</v>
      </c>
      <c r="D16" s="2" t="s">
        <v>160</v>
      </c>
      <c r="E16" s="5" t="str">
        <f aca="false">IFERROR(INDEX('Code Tables'!$E$2:$E$40,MATCH(D16,'Code Tables'!$D$2:$D$40,0)),"?")</f>
        <v>Splash</v>
      </c>
      <c r="F16" s="7" t="s">
        <v>135</v>
      </c>
      <c r="G16" s="5" t="str">
        <f aca="false">IFERROR(INDEX('Code Tables'!$J$2:$J$20,MATCH(F16,'Code Tables'!$I$2:$I$20,0)),"?")</f>
        <v>Size 3</v>
      </c>
      <c r="H16" s="2" t="s">
        <v>161</v>
      </c>
      <c r="I16" s="2" t="s">
        <v>167</v>
      </c>
      <c r="J16" s="2" t="s">
        <v>168</v>
      </c>
      <c r="K16" s="2" t="s">
        <v>31</v>
      </c>
      <c r="L16" s="2" t="s">
        <v>164</v>
      </c>
      <c r="M16" s="5" t="str">
        <f aca="false">IF(COUNTIF($A$2:$A$105,A16)&gt;1,"DUPLICATE",IF(ISNA(MATCH(B16,Styles!$A$2:$A$27,0)),"BAD STYLE",IF(ISNA(MATCH(D16,'Code Tables'!$D$2:$D$40,0)),"BAD COLOR",IF(ISNA(MATCH(F16,'Code Tables'!$I$2:$I$20,0)),"BAD SIZE","ok"))))</f>
        <v>ok</v>
      </c>
      <c r="N16" s="2"/>
      <c r="O16" s="5" t="n">
        <f aca="false">IF(COUNTIFS($B$2:B16,B16,$D$2:D16,D16)=1,1,0)</f>
        <v>0</v>
      </c>
    </row>
    <row r="17" customFormat="false" ht="15" hidden="false" customHeight="false" outlineLevel="0" collapsed="false">
      <c r="A17" s="5" t="str">
        <f aca="false">B17&amp;"-"&amp;D17&amp;"-"&amp;F17</f>
        <v>TP101-RED-01</v>
      </c>
      <c r="B17" s="2" t="s">
        <v>29</v>
      </c>
      <c r="C17" s="5" t="str">
        <f aca="false">IFERROR(INDEX(Styles!$B$2:$B$27,MATCH(B17,Styles!$A$2:$A$27,0)),"?")</f>
        <v>Cleo Tee</v>
      </c>
      <c r="D17" s="2" t="s">
        <v>169</v>
      </c>
      <c r="E17" s="5" t="str">
        <f aca="false">IFERROR(INDEX('Code Tables'!$E$2:$E$40,MATCH(D17,'Code Tables'!$D$2:$D$40,0)),"?")</f>
        <v>Red</v>
      </c>
      <c r="F17" s="7" t="s">
        <v>127</v>
      </c>
      <c r="G17" s="5" t="str">
        <f aca="false">IFERROR(INDEX('Code Tables'!$J$2:$J$20,MATCH(F17,'Code Tables'!$I$2:$I$20,0)),"?")</f>
        <v>Size 1</v>
      </c>
      <c r="H17" s="2" t="s">
        <v>170</v>
      </c>
      <c r="I17" s="2" t="s">
        <v>171</v>
      </c>
      <c r="J17" s="2" t="s">
        <v>172</v>
      </c>
      <c r="K17" s="2" t="s">
        <v>149</v>
      </c>
      <c r="L17" s="2" t="s">
        <v>164</v>
      </c>
      <c r="M17" s="5" t="str">
        <f aca="false">IF(COUNTIF($A$2:$A$105,A17)&gt;1,"DUPLICATE",IF(ISNA(MATCH(B17,Styles!$A$2:$A$27,0)),"BAD STYLE",IF(ISNA(MATCH(D17,'Code Tables'!$D$2:$D$40,0)),"BAD COLOR",IF(ISNA(MATCH(F17,'Code Tables'!$I$2:$I$20,0)),"BAD SIZE","ok"))))</f>
        <v>ok</v>
      </c>
      <c r="N17" s="2"/>
      <c r="O17" s="5" t="n">
        <f aca="false">IF(COUNTIFS($B$2:B17,B17,$D$2:D17,D17)=1,1,0)</f>
        <v>1</v>
      </c>
    </row>
    <row r="18" customFormat="false" ht="15" hidden="false" customHeight="false" outlineLevel="0" collapsed="false">
      <c r="A18" s="5" t="str">
        <f aca="false">B18&amp;"-"&amp;D18&amp;"-"&amp;F18</f>
        <v>TP101-RED-02</v>
      </c>
      <c r="B18" s="2" t="s">
        <v>29</v>
      </c>
      <c r="C18" s="5" t="str">
        <f aca="false">IFERROR(INDEX(Styles!$B$2:$B$27,MATCH(B18,Styles!$A$2:$A$27,0)),"?")</f>
        <v>Cleo Tee</v>
      </c>
      <c r="D18" s="2" t="s">
        <v>169</v>
      </c>
      <c r="E18" s="5" t="str">
        <f aca="false">IFERROR(INDEX('Code Tables'!$E$2:$E$40,MATCH(D18,'Code Tables'!$D$2:$D$40,0)),"?")</f>
        <v>Red</v>
      </c>
      <c r="F18" s="7" t="s">
        <v>132</v>
      </c>
      <c r="G18" s="5" t="str">
        <f aca="false">IFERROR(INDEX('Code Tables'!$J$2:$J$20,MATCH(F18,'Code Tables'!$I$2:$I$20,0)),"?")</f>
        <v>Size 2</v>
      </c>
      <c r="H18" s="2" t="s">
        <v>170</v>
      </c>
      <c r="I18" s="2" t="s">
        <v>173</v>
      </c>
      <c r="J18" s="2" t="s">
        <v>174</v>
      </c>
      <c r="K18" s="2" t="s">
        <v>149</v>
      </c>
      <c r="L18" s="2" t="s">
        <v>164</v>
      </c>
      <c r="M18" s="5" t="str">
        <f aca="false">IF(COUNTIF($A$2:$A$105,A18)&gt;1,"DUPLICATE",IF(ISNA(MATCH(B18,Styles!$A$2:$A$27,0)),"BAD STYLE",IF(ISNA(MATCH(D18,'Code Tables'!$D$2:$D$40,0)),"BAD COLOR",IF(ISNA(MATCH(F18,'Code Tables'!$I$2:$I$20,0)),"BAD SIZE","ok"))))</f>
        <v>ok</v>
      </c>
      <c r="N18" s="2"/>
      <c r="O18" s="5" t="n">
        <f aca="false">IF(COUNTIFS($B$2:B18,B18,$D$2:D18,D18)=1,1,0)</f>
        <v>0</v>
      </c>
    </row>
    <row r="19" customFormat="false" ht="15" hidden="false" customHeight="false" outlineLevel="0" collapsed="false">
      <c r="A19" s="5" t="str">
        <f aca="false">B19&amp;"-"&amp;D19&amp;"-"&amp;F19</f>
        <v>TP101-RED-03</v>
      </c>
      <c r="B19" s="2" t="s">
        <v>29</v>
      </c>
      <c r="C19" s="5" t="str">
        <f aca="false">IFERROR(INDEX(Styles!$B$2:$B$27,MATCH(B19,Styles!$A$2:$A$27,0)),"?")</f>
        <v>Cleo Tee</v>
      </c>
      <c r="D19" s="2" t="s">
        <v>169</v>
      </c>
      <c r="E19" s="5" t="str">
        <f aca="false">IFERROR(INDEX('Code Tables'!$E$2:$E$40,MATCH(D19,'Code Tables'!$D$2:$D$40,0)),"?")</f>
        <v>Red</v>
      </c>
      <c r="F19" s="7" t="s">
        <v>135</v>
      </c>
      <c r="G19" s="5" t="str">
        <f aca="false">IFERROR(INDEX('Code Tables'!$J$2:$J$20,MATCH(F19,'Code Tables'!$I$2:$I$20,0)),"?")</f>
        <v>Size 3</v>
      </c>
      <c r="H19" s="2" t="s">
        <v>170</v>
      </c>
      <c r="I19" s="2" t="s">
        <v>175</v>
      </c>
      <c r="J19" s="2" t="s">
        <v>176</v>
      </c>
      <c r="K19" s="2" t="s">
        <v>149</v>
      </c>
      <c r="L19" s="2" t="s">
        <v>164</v>
      </c>
      <c r="M19" s="5" t="str">
        <f aca="false">IF(COUNTIF($A$2:$A$105,A19)&gt;1,"DUPLICATE",IF(ISNA(MATCH(B19,Styles!$A$2:$A$27,0)),"BAD STYLE",IF(ISNA(MATCH(D19,'Code Tables'!$D$2:$D$40,0)),"BAD COLOR",IF(ISNA(MATCH(F19,'Code Tables'!$I$2:$I$20,0)),"BAD SIZE","ok"))))</f>
        <v>ok</v>
      </c>
      <c r="N19" s="2"/>
      <c r="O19" s="5" t="n">
        <f aca="false">IF(COUNTIFS($B$2:B19,B19,$D$2:D19,D19)=1,1,0)</f>
        <v>0</v>
      </c>
    </row>
    <row r="20" customFormat="false" ht="15" hidden="false" customHeight="false" outlineLevel="0" collapsed="false">
      <c r="A20" s="5" t="str">
        <f aca="false">B20&amp;"-"&amp;D20&amp;"-"&amp;F20</f>
        <v>TP101-SHL-01</v>
      </c>
      <c r="B20" s="2" t="s">
        <v>29</v>
      </c>
      <c r="C20" s="5" t="str">
        <f aca="false">IFERROR(INDEX(Styles!$B$2:$B$27,MATCH(B20,Styles!$A$2:$A$27,0)),"?")</f>
        <v>Cleo Tee</v>
      </c>
      <c r="D20" s="2" t="s">
        <v>177</v>
      </c>
      <c r="E20" s="5" t="str">
        <f aca="false">IFERROR(INDEX('Code Tables'!$E$2:$E$40,MATCH(D20,'Code Tables'!$D$2:$D$40,0)),"?")</f>
        <v>Shell</v>
      </c>
      <c r="F20" s="7" t="s">
        <v>127</v>
      </c>
      <c r="G20" s="5" t="str">
        <f aca="false">IFERROR(INDEX('Code Tables'!$J$2:$J$20,MATCH(F20,'Code Tables'!$I$2:$I$20,0)),"?")</f>
        <v>Size 1</v>
      </c>
      <c r="H20" s="2" t="s">
        <v>178</v>
      </c>
      <c r="I20" s="2" t="s">
        <v>179</v>
      </c>
      <c r="J20" s="2" t="s">
        <v>180</v>
      </c>
      <c r="K20" s="2" t="s">
        <v>31</v>
      </c>
      <c r="L20" s="2" t="s">
        <v>150</v>
      </c>
      <c r="M20" s="5" t="str">
        <f aca="false">IF(COUNTIF($A$2:$A$105,A20)&gt;1,"DUPLICATE",IF(ISNA(MATCH(B20,Styles!$A$2:$A$27,0)),"BAD STYLE",IF(ISNA(MATCH(D20,'Code Tables'!$D$2:$D$40,0)),"BAD COLOR",IF(ISNA(MATCH(F20,'Code Tables'!$I$2:$I$20,0)),"BAD SIZE","ok"))))</f>
        <v>ok</v>
      </c>
      <c r="N20" s="2"/>
      <c r="O20" s="5" t="n">
        <f aca="false">IF(COUNTIFS($B$2:B20,B20,$D$2:D20,D20)=1,1,0)</f>
        <v>1</v>
      </c>
    </row>
    <row r="21" customFormat="false" ht="15" hidden="false" customHeight="false" outlineLevel="0" collapsed="false">
      <c r="A21" s="5" t="str">
        <f aca="false">B21&amp;"-"&amp;D21&amp;"-"&amp;F21</f>
        <v>TP101-SHL-02</v>
      </c>
      <c r="B21" s="2" t="s">
        <v>29</v>
      </c>
      <c r="C21" s="5" t="str">
        <f aca="false">IFERROR(INDEX(Styles!$B$2:$B$27,MATCH(B21,Styles!$A$2:$A$27,0)),"?")</f>
        <v>Cleo Tee</v>
      </c>
      <c r="D21" s="2" t="s">
        <v>177</v>
      </c>
      <c r="E21" s="5" t="str">
        <f aca="false">IFERROR(INDEX('Code Tables'!$E$2:$E$40,MATCH(D21,'Code Tables'!$D$2:$D$40,0)),"?")</f>
        <v>Shell</v>
      </c>
      <c r="F21" s="7" t="s">
        <v>132</v>
      </c>
      <c r="G21" s="5" t="str">
        <f aca="false">IFERROR(INDEX('Code Tables'!$J$2:$J$20,MATCH(F21,'Code Tables'!$I$2:$I$20,0)),"?")</f>
        <v>Size 2</v>
      </c>
      <c r="H21" s="2" t="s">
        <v>178</v>
      </c>
      <c r="I21" s="2" t="s">
        <v>181</v>
      </c>
      <c r="J21" s="2" t="s">
        <v>182</v>
      </c>
      <c r="K21" s="2" t="s">
        <v>31</v>
      </c>
      <c r="L21" s="2" t="s">
        <v>150</v>
      </c>
      <c r="M21" s="5" t="str">
        <f aca="false">IF(COUNTIF($A$2:$A$105,A21)&gt;1,"DUPLICATE",IF(ISNA(MATCH(B21,Styles!$A$2:$A$27,0)),"BAD STYLE",IF(ISNA(MATCH(D21,'Code Tables'!$D$2:$D$40,0)),"BAD COLOR",IF(ISNA(MATCH(F21,'Code Tables'!$I$2:$I$20,0)),"BAD SIZE","ok"))))</f>
        <v>ok</v>
      </c>
      <c r="N21" s="2"/>
      <c r="O21" s="5" t="n">
        <f aca="false">IF(COUNTIFS($B$2:B21,B21,$D$2:D21,D21)=1,1,0)</f>
        <v>0</v>
      </c>
    </row>
    <row r="22" customFormat="false" ht="15" hidden="false" customHeight="false" outlineLevel="0" collapsed="false">
      <c r="A22" s="5" t="str">
        <f aca="false">B22&amp;"-"&amp;D22&amp;"-"&amp;F22</f>
        <v>TP101-SHL-03</v>
      </c>
      <c r="B22" s="2" t="s">
        <v>29</v>
      </c>
      <c r="C22" s="5" t="str">
        <f aca="false">IFERROR(INDEX(Styles!$B$2:$B$27,MATCH(B22,Styles!$A$2:$A$27,0)),"?")</f>
        <v>Cleo Tee</v>
      </c>
      <c r="D22" s="2" t="s">
        <v>177</v>
      </c>
      <c r="E22" s="5" t="str">
        <f aca="false">IFERROR(INDEX('Code Tables'!$E$2:$E$40,MATCH(D22,'Code Tables'!$D$2:$D$40,0)),"?")</f>
        <v>Shell</v>
      </c>
      <c r="F22" s="7" t="s">
        <v>135</v>
      </c>
      <c r="G22" s="5" t="str">
        <f aca="false">IFERROR(INDEX('Code Tables'!$J$2:$J$20,MATCH(F22,'Code Tables'!$I$2:$I$20,0)),"?")</f>
        <v>Size 3</v>
      </c>
      <c r="H22" s="2" t="s">
        <v>178</v>
      </c>
      <c r="I22" s="2" t="s">
        <v>183</v>
      </c>
      <c r="J22" s="2" t="s">
        <v>184</v>
      </c>
      <c r="K22" s="2" t="s">
        <v>31</v>
      </c>
      <c r="L22" s="2" t="s">
        <v>150</v>
      </c>
      <c r="M22" s="5" t="str">
        <f aca="false">IF(COUNTIF($A$2:$A$105,A22)&gt;1,"DUPLICATE",IF(ISNA(MATCH(B22,Styles!$A$2:$A$27,0)),"BAD STYLE",IF(ISNA(MATCH(D22,'Code Tables'!$D$2:$D$40,0)),"BAD COLOR",IF(ISNA(MATCH(F22,'Code Tables'!$I$2:$I$20,0)),"BAD SIZE","ok"))))</f>
        <v>ok</v>
      </c>
      <c r="N22" s="2"/>
      <c r="O22" s="5" t="n">
        <f aca="false">IF(COUNTIFS($B$2:B22,B22,$D$2:D22,D22)=1,1,0)</f>
        <v>0</v>
      </c>
    </row>
    <row r="23" customFormat="false" ht="15" hidden="false" customHeight="false" outlineLevel="0" collapsed="false">
      <c r="A23" s="5" t="str">
        <f aca="false">B23&amp;"-"&amp;D23&amp;"-"&amp;F23</f>
        <v>TP101-SPL-01</v>
      </c>
      <c r="B23" s="2" t="s">
        <v>29</v>
      </c>
      <c r="C23" s="5" t="str">
        <f aca="false">IFERROR(INDEX(Styles!$B$2:$B$27,MATCH(B23,Styles!$A$2:$A$27,0)),"?")</f>
        <v>Cleo Tee</v>
      </c>
      <c r="D23" s="2" t="s">
        <v>185</v>
      </c>
      <c r="E23" s="5" t="str">
        <f aca="false">IFERROR(INDEX('Code Tables'!$E$2:$E$40,MATCH(D23,'Code Tables'!$D$2:$D$40,0)),"?")</f>
        <v>Splish</v>
      </c>
      <c r="F23" s="7" t="s">
        <v>127</v>
      </c>
      <c r="G23" s="5" t="str">
        <f aca="false">IFERROR(INDEX('Code Tables'!$J$2:$J$20,MATCH(F23,'Code Tables'!$I$2:$I$20,0)),"?")</f>
        <v>Size 1</v>
      </c>
      <c r="H23" s="2" t="s">
        <v>186</v>
      </c>
      <c r="I23" s="2" t="s">
        <v>187</v>
      </c>
      <c r="J23" s="2"/>
      <c r="K23" s="2" t="s">
        <v>31</v>
      </c>
      <c r="L23" s="2"/>
      <c r="M23" s="5" t="str">
        <f aca="false">IF(COUNTIF($A$2:$A$105,A23)&gt;1,"DUPLICATE",IF(ISNA(MATCH(B23,Styles!$A$2:$A$27,0)),"BAD STYLE",IF(ISNA(MATCH(D23,'Code Tables'!$D$2:$D$40,0)),"BAD COLOR",IF(ISNA(MATCH(F23,'Code Tables'!$I$2:$I$20,0)),"BAD SIZE","ok"))))</f>
        <v>ok</v>
      </c>
      <c r="N23" s="2"/>
      <c r="O23" s="5" t="n">
        <f aca="false">IF(COUNTIFS($B$2:B23,B23,$D$2:D23,D23)=1,1,0)</f>
        <v>1</v>
      </c>
    </row>
    <row r="24" customFormat="false" ht="15" hidden="false" customHeight="false" outlineLevel="0" collapsed="false">
      <c r="A24" s="5" t="str">
        <f aca="false">B24&amp;"-"&amp;D24&amp;"-"&amp;F24</f>
        <v>TP101-SPL-02</v>
      </c>
      <c r="B24" s="2" t="s">
        <v>29</v>
      </c>
      <c r="C24" s="5" t="str">
        <f aca="false">IFERROR(INDEX(Styles!$B$2:$B$27,MATCH(B24,Styles!$A$2:$A$27,0)),"?")</f>
        <v>Cleo Tee</v>
      </c>
      <c r="D24" s="2" t="s">
        <v>185</v>
      </c>
      <c r="E24" s="5" t="str">
        <f aca="false">IFERROR(INDEX('Code Tables'!$E$2:$E$40,MATCH(D24,'Code Tables'!$D$2:$D$40,0)),"?")</f>
        <v>Splish</v>
      </c>
      <c r="F24" s="7" t="s">
        <v>132</v>
      </c>
      <c r="G24" s="5" t="str">
        <f aca="false">IFERROR(INDEX('Code Tables'!$J$2:$J$20,MATCH(F24,'Code Tables'!$I$2:$I$20,0)),"?")</f>
        <v>Size 2</v>
      </c>
      <c r="H24" s="2" t="s">
        <v>186</v>
      </c>
      <c r="I24" s="2" t="s">
        <v>188</v>
      </c>
      <c r="J24" s="2"/>
      <c r="K24" s="2" t="s">
        <v>31</v>
      </c>
      <c r="L24" s="2"/>
      <c r="M24" s="5" t="str">
        <f aca="false">IF(COUNTIF($A$2:$A$105,A24)&gt;1,"DUPLICATE",IF(ISNA(MATCH(B24,Styles!$A$2:$A$27,0)),"BAD STYLE",IF(ISNA(MATCH(D24,'Code Tables'!$D$2:$D$40,0)),"BAD COLOR",IF(ISNA(MATCH(F24,'Code Tables'!$I$2:$I$20,0)),"BAD SIZE","ok"))))</f>
        <v>ok</v>
      </c>
      <c r="N24" s="2"/>
      <c r="O24" s="5" t="n">
        <f aca="false">IF(COUNTIFS($B$2:B24,B24,$D$2:D24,D24)=1,1,0)</f>
        <v>0</v>
      </c>
    </row>
    <row r="25" customFormat="false" ht="15" hidden="false" customHeight="false" outlineLevel="0" collapsed="false">
      <c r="A25" s="5" t="str">
        <f aca="false">B25&amp;"-"&amp;D25&amp;"-"&amp;F25</f>
        <v>TP101-SPL-03</v>
      </c>
      <c r="B25" s="2" t="s">
        <v>29</v>
      </c>
      <c r="C25" s="5" t="str">
        <f aca="false">IFERROR(INDEX(Styles!$B$2:$B$27,MATCH(B25,Styles!$A$2:$A$27,0)),"?")</f>
        <v>Cleo Tee</v>
      </c>
      <c r="D25" s="2" t="s">
        <v>185</v>
      </c>
      <c r="E25" s="5" t="str">
        <f aca="false">IFERROR(INDEX('Code Tables'!$E$2:$E$40,MATCH(D25,'Code Tables'!$D$2:$D$40,0)),"?")</f>
        <v>Splish</v>
      </c>
      <c r="F25" s="7" t="s">
        <v>135</v>
      </c>
      <c r="G25" s="5" t="str">
        <f aca="false">IFERROR(INDEX('Code Tables'!$J$2:$J$20,MATCH(F25,'Code Tables'!$I$2:$I$20,0)),"?")</f>
        <v>Size 3</v>
      </c>
      <c r="H25" s="2" t="s">
        <v>186</v>
      </c>
      <c r="I25" s="2" t="s">
        <v>189</v>
      </c>
      <c r="J25" s="2"/>
      <c r="K25" s="2" t="s">
        <v>31</v>
      </c>
      <c r="L25" s="2"/>
      <c r="M25" s="5" t="str">
        <f aca="false">IF(COUNTIF($A$2:$A$105,A25)&gt;1,"DUPLICATE",IF(ISNA(MATCH(B25,Styles!$A$2:$A$27,0)),"BAD STYLE",IF(ISNA(MATCH(D25,'Code Tables'!$D$2:$D$40,0)),"BAD COLOR",IF(ISNA(MATCH(F25,'Code Tables'!$I$2:$I$20,0)),"BAD SIZE","ok"))))</f>
        <v>ok</v>
      </c>
      <c r="N25" s="2"/>
      <c r="O25" s="5" t="n">
        <f aca="false">IF(COUNTIFS($B$2:B25,B25,$D$2:D25,D25)=1,1,0)</f>
        <v>0</v>
      </c>
    </row>
    <row r="26" customFormat="false" ht="15" hidden="false" customHeight="false" outlineLevel="0" collapsed="false">
      <c r="A26" s="5" t="str">
        <f aca="false">B26&amp;"-"&amp;D26&amp;"-"&amp;F26</f>
        <v>TP101-SNS-01</v>
      </c>
      <c r="B26" s="2" t="s">
        <v>29</v>
      </c>
      <c r="C26" s="5" t="str">
        <f aca="false">IFERROR(INDEX(Styles!$B$2:$B$27,MATCH(B26,Styles!$A$2:$A$27,0)),"?")</f>
        <v>Cleo Tee</v>
      </c>
      <c r="D26" s="2" t="s">
        <v>190</v>
      </c>
      <c r="E26" s="5" t="str">
        <f aca="false">IFERROR(INDEX('Code Tables'!$E$2:$E$40,MATCH(D26,'Code Tables'!$D$2:$D$40,0)),"?")</f>
        <v>Sunshine</v>
      </c>
      <c r="F26" s="7" t="s">
        <v>127</v>
      </c>
      <c r="G26" s="5" t="str">
        <f aca="false">IFERROR(INDEX('Code Tables'!$J$2:$J$20,MATCH(F26,'Code Tables'!$I$2:$I$20,0)),"?")</f>
        <v>Size 1</v>
      </c>
      <c r="H26" s="2" t="s">
        <v>191</v>
      </c>
      <c r="I26" s="2" t="s">
        <v>192</v>
      </c>
      <c r="J26" s="2" t="s">
        <v>193</v>
      </c>
      <c r="K26" s="2" t="s">
        <v>31</v>
      </c>
      <c r="L26" s="2" t="s">
        <v>150</v>
      </c>
      <c r="M26" s="5" t="str">
        <f aca="false">IF(COUNTIF($A$2:$A$105,A26)&gt;1,"DUPLICATE",IF(ISNA(MATCH(B26,Styles!$A$2:$A$27,0)),"BAD STYLE",IF(ISNA(MATCH(D26,'Code Tables'!$D$2:$D$40,0)),"BAD COLOR",IF(ISNA(MATCH(F26,'Code Tables'!$I$2:$I$20,0)),"BAD SIZE","ok"))))</f>
        <v>ok</v>
      </c>
      <c r="N26" s="2"/>
      <c r="O26" s="5" t="n">
        <f aca="false">IF(COUNTIFS($B$2:B26,B26,$D$2:D26,D26)=1,1,0)</f>
        <v>1</v>
      </c>
    </row>
    <row r="27" customFormat="false" ht="15" hidden="false" customHeight="false" outlineLevel="0" collapsed="false">
      <c r="A27" s="5" t="str">
        <f aca="false">B27&amp;"-"&amp;D27&amp;"-"&amp;F27</f>
        <v>TP101-SNS-02</v>
      </c>
      <c r="B27" s="2" t="s">
        <v>29</v>
      </c>
      <c r="C27" s="5" t="str">
        <f aca="false">IFERROR(INDEX(Styles!$B$2:$B$27,MATCH(B27,Styles!$A$2:$A$27,0)),"?")</f>
        <v>Cleo Tee</v>
      </c>
      <c r="D27" s="2" t="s">
        <v>190</v>
      </c>
      <c r="E27" s="5" t="str">
        <f aca="false">IFERROR(INDEX('Code Tables'!$E$2:$E$40,MATCH(D27,'Code Tables'!$D$2:$D$40,0)),"?")</f>
        <v>Sunshine</v>
      </c>
      <c r="F27" s="7" t="s">
        <v>132</v>
      </c>
      <c r="G27" s="5" t="str">
        <f aca="false">IFERROR(INDEX('Code Tables'!$J$2:$J$20,MATCH(F27,'Code Tables'!$I$2:$I$20,0)),"?")</f>
        <v>Size 2</v>
      </c>
      <c r="H27" s="2" t="s">
        <v>191</v>
      </c>
      <c r="I27" s="2" t="s">
        <v>194</v>
      </c>
      <c r="J27" s="2" t="s">
        <v>195</v>
      </c>
      <c r="K27" s="2" t="s">
        <v>31</v>
      </c>
      <c r="L27" s="2" t="s">
        <v>150</v>
      </c>
      <c r="M27" s="5" t="str">
        <f aca="false">IF(COUNTIF($A$2:$A$105,A27)&gt;1,"DUPLICATE",IF(ISNA(MATCH(B27,Styles!$A$2:$A$27,0)),"BAD STYLE",IF(ISNA(MATCH(D27,'Code Tables'!$D$2:$D$40,0)),"BAD COLOR",IF(ISNA(MATCH(F27,'Code Tables'!$I$2:$I$20,0)),"BAD SIZE","ok"))))</f>
        <v>ok</v>
      </c>
      <c r="N27" s="2"/>
      <c r="O27" s="5" t="n">
        <f aca="false">IF(COUNTIFS($B$2:B27,B27,$D$2:D27,D27)=1,1,0)</f>
        <v>0</v>
      </c>
    </row>
    <row r="28" customFormat="false" ht="15" hidden="false" customHeight="false" outlineLevel="0" collapsed="false">
      <c r="A28" s="5" t="str">
        <f aca="false">B28&amp;"-"&amp;D28&amp;"-"&amp;F28</f>
        <v>TP101-SNS-03</v>
      </c>
      <c r="B28" s="2" t="s">
        <v>29</v>
      </c>
      <c r="C28" s="5" t="str">
        <f aca="false">IFERROR(INDEX(Styles!$B$2:$B$27,MATCH(B28,Styles!$A$2:$A$27,0)),"?")</f>
        <v>Cleo Tee</v>
      </c>
      <c r="D28" s="2" t="s">
        <v>190</v>
      </c>
      <c r="E28" s="5" t="str">
        <f aca="false">IFERROR(INDEX('Code Tables'!$E$2:$E$40,MATCH(D28,'Code Tables'!$D$2:$D$40,0)),"?")</f>
        <v>Sunshine</v>
      </c>
      <c r="F28" s="7" t="s">
        <v>135</v>
      </c>
      <c r="G28" s="5" t="str">
        <f aca="false">IFERROR(INDEX('Code Tables'!$J$2:$J$20,MATCH(F28,'Code Tables'!$I$2:$I$20,0)),"?")</f>
        <v>Size 3</v>
      </c>
      <c r="H28" s="2" t="s">
        <v>191</v>
      </c>
      <c r="I28" s="2" t="s">
        <v>196</v>
      </c>
      <c r="J28" s="2" t="s">
        <v>197</v>
      </c>
      <c r="K28" s="2" t="s">
        <v>31</v>
      </c>
      <c r="L28" s="2" t="s">
        <v>150</v>
      </c>
      <c r="M28" s="5" t="str">
        <f aca="false">IF(COUNTIF($A$2:$A$105,A28)&gt;1,"DUPLICATE",IF(ISNA(MATCH(B28,Styles!$A$2:$A$27,0)),"BAD STYLE",IF(ISNA(MATCH(D28,'Code Tables'!$D$2:$D$40,0)),"BAD COLOR",IF(ISNA(MATCH(F28,'Code Tables'!$I$2:$I$20,0)),"BAD SIZE","ok"))))</f>
        <v>ok</v>
      </c>
      <c r="N28" s="2"/>
      <c r="O28" s="5" t="n">
        <f aca="false">IF(COUNTIFS($B$2:B28,B28,$D$2:D28,D28)=1,1,0)</f>
        <v>0</v>
      </c>
    </row>
    <row r="29" customFormat="false" ht="15" hidden="false" customHeight="false" outlineLevel="0" collapsed="false">
      <c r="A29" s="5" t="str">
        <f aca="false">B29&amp;"-"&amp;D29&amp;"-"&amp;F29</f>
        <v>TP102-RST-01</v>
      </c>
      <c r="B29" s="2" t="s">
        <v>34</v>
      </c>
      <c r="C29" s="5" t="str">
        <f aca="false">IFERROR(INDEX(Styles!$B$2:$B$27,MATCH(B29,Styles!$A$2:$A$27,0)),"?")</f>
        <v>Cosmo Tee</v>
      </c>
      <c r="D29" s="2" t="s">
        <v>198</v>
      </c>
      <c r="E29" s="5" t="str">
        <f aca="false">IFERROR(INDEX('Code Tables'!$E$2:$E$40,MATCH(D29,'Code Tables'!$D$2:$D$40,0)),"?")</f>
        <v>Red Stripe</v>
      </c>
      <c r="F29" s="7" t="s">
        <v>127</v>
      </c>
      <c r="G29" s="5" t="str">
        <f aca="false">IFERROR(INDEX('Code Tables'!$J$2:$J$20,MATCH(F29,'Code Tables'!$I$2:$I$20,0)),"?")</f>
        <v>Size 1</v>
      </c>
      <c r="H29" s="2" t="s">
        <v>199</v>
      </c>
      <c r="I29" s="2" t="s">
        <v>200</v>
      </c>
      <c r="J29" s="2"/>
      <c r="K29" s="2" t="s">
        <v>36</v>
      </c>
      <c r="L29" s="2"/>
      <c r="M29" s="5" t="str">
        <f aca="false">IF(COUNTIF($A$2:$A$105,A29)&gt;1,"DUPLICATE",IF(ISNA(MATCH(B29,Styles!$A$2:$A$27,0)),"BAD STYLE",IF(ISNA(MATCH(D29,'Code Tables'!$D$2:$D$40,0)),"BAD COLOR",IF(ISNA(MATCH(F29,'Code Tables'!$I$2:$I$20,0)),"BAD SIZE","ok"))))</f>
        <v>ok</v>
      </c>
      <c r="N29" s="2"/>
      <c r="O29" s="5" t="n">
        <f aca="false">IF(COUNTIFS($B$2:B29,B29,$D$2:D29,D29)=1,1,0)</f>
        <v>1</v>
      </c>
    </row>
    <row r="30" customFormat="false" ht="15" hidden="false" customHeight="false" outlineLevel="0" collapsed="false">
      <c r="A30" s="5" t="str">
        <f aca="false">B30&amp;"-"&amp;D30&amp;"-"&amp;F30</f>
        <v>TP102-RST-02</v>
      </c>
      <c r="B30" s="2" t="s">
        <v>34</v>
      </c>
      <c r="C30" s="5" t="str">
        <f aca="false">IFERROR(INDEX(Styles!$B$2:$B$27,MATCH(B30,Styles!$A$2:$A$27,0)),"?")</f>
        <v>Cosmo Tee</v>
      </c>
      <c r="D30" s="2" t="s">
        <v>198</v>
      </c>
      <c r="E30" s="5" t="str">
        <f aca="false">IFERROR(INDEX('Code Tables'!$E$2:$E$40,MATCH(D30,'Code Tables'!$D$2:$D$40,0)),"?")</f>
        <v>Red Stripe</v>
      </c>
      <c r="F30" s="7" t="s">
        <v>132</v>
      </c>
      <c r="G30" s="5" t="str">
        <f aca="false">IFERROR(INDEX('Code Tables'!$J$2:$J$20,MATCH(F30,'Code Tables'!$I$2:$I$20,0)),"?")</f>
        <v>Size 2</v>
      </c>
      <c r="H30" s="2" t="s">
        <v>199</v>
      </c>
      <c r="I30" s="2" t="s">
        <v>201</v>
      </c>
      <c r="J30" s="2"/>
      <c r="K30" s="2" t="s">
        <v>36</v>
      </c>
      <c r="L30" s="2"/>
      <c r="M30" s="5" t="str">
        <f aca="false">IF(COUNTIF($A$2:$A$105,A30)&gt;1,"DUPLICATE",IF(ISNA(MATCH(B30,Styles!$A$2:$A$27,0)),"BAD STYLE",IF(ISNA(MATCH(D30,'Code Tables'!$D$2:$D$40,0)),"BAD COLOR",IF(ISNA(MATCH(F30,'Code Tables'!$I$2:$I$20,0)),"BAD SIZE","ok"))))</f>
        <v>ok</v>
      </c>
      <c r="N30" s="2"/>
      <c r="O30" s="5" t="n">
        <f aca="false">IF(COUNTIFS($B$2:B30,B30,$D$2:D30,D30)=1,1,0)</f>
        <v>0</v>
      </c>
    </row>
    <row r="31" customFormat="false" ht="15" hidden="false" customHeight="false" outlineLevel="0" collapsed="false">
      <c r="A31" s="5" t="str">
        <f aca="false">B31&amp;"-"&amp;D31&amp;"-"&amp;F31</f>
        <v>TP102-RST-03</v>
      </c>
      <c r="B31" s="2" t="s">
        <v>34</v>
      </c>
      <c r="C31" s="5" t="str">
        <f aca="false">IFERROR(INDEX(Styles!$B$2:$B$27,MATCH(B31,Styles!$A$2:$A$27,0)),"?")</f>
        <v>Cosmo Tee</v>
      </c>
      <c r="D31" s="2" t="s">
        <v>198</v>
      </c>
      <c r="E31" s="5" t="str">
        <f aca="false">IFERROR(INDEX('Code Tables'!$E$2:$E$40,MATCH(D31,'Code Tables'!$D$2:$D$40,0)),"?")</f>
        <v>Red Stripe</v>
      </c>
      <c r="F31" s="7" t="s">
        <v>135</v>
      </c>
      <c r="G31" s="5" t="str">
        <f aca="false">IFERROR(INDEX('Code Tables'!$J$2:$J$20,MATCH(F31,'Code Tables'!$I$2:$I$20,0)),"?")</f>
        <v>Size 3</v>
      </c>
      <c r="H31" s="2" t="s">
        <v>199</v>
      </c>
      <c r="I31" s="2" t="s">
        <v>202</v>
      </c>
      <c r="J31" s="2"/>
      <c r="K31" s="2" t="s">
        <v>36</v>
      </c>
      <c r="L31" s="2"/>
      <c r="M31" s="5" t="str">
        <f aca="false">IF(COUNTIF($A$2:$A$105,A31)&gt;1,"DUPLICATE",IF(ISNA(MATCH(B31,Styles!$A$2:$A$27,0)),"BAD STYLE",IF(ISNA(MATCH(D31,'Code Tables'!$D$2:$D$40,0)),"BAD COLOR",IF(ISNA(MATCH(F31,'Code Tables'!$I$2:$I$20,0)),"BAD SIZE","ok"))))</f>
        <v>ok</v>
      </c>
      <c r="N31" s="2"/>
      <c r="O31" s="5" t="n">
        <f aca="false">IF(COUNTIFS($B$2:B31,B31,$D$2:D31,D31)=1,1,0)</f>
        <v>0</v>
      </c>
    </row>
    <row r="32" customFormat="false" ht="15" hidden="false" customHeight="false" outlineLevel="0" collapsed="false">
      <c r="A32" s="5" t="str">
        <f aca="false">B32&amp;"-"&amp;D32&amp;"-"&amp;F32</f>
        <v>DR101-BLK-01</v>
      </c>
      <c r="B32" s="2" t="s">
        <v>38</v>
      </c>
      <c r="C32" s="5" t="str">
        <f aca="false">IFERROR(INDEX(Styles!$B$2:$B$27,MATCH(B32,Styles!$A$2:$A$27,0)),"?")</f>
        <v>You Dress</v>
      </c>
      <c r="D32" s="2" t="s">
        <v>126</v>
      </c>
      <c r="E32" s="5" t="str">
        <f aca="false">IFERROR(INDEX('Code Tables'!$E$2:$E$40,MATCH(D32,'Code Tables'!$D$2:$D$40,0)),"?")</f>
        <v>Black</v>
      </c>
      <c r="F32" s="7" t="s">
        <v>127</v>
      </c>
      <c r="G32" s="5" t="str">
        <f aca="false">IFERROR(INDEX('Code Tables'!$J$2:$J$20,MATCH(F32,'Code Tables'!$I$2:$I$20,0)),"?")</f>
        <v>Size 1</v>
      </c>
      <c r="H32" s="2" t="s">
        <v>203</v>
      </c>
      <c r="I32" s="2" t="s">
        <v>129</v>
      </c>
      <c r="J32" s="2" t="s">
        <v>204</v>
      </c>
      <c r="K32" s="2" t="s">
        <v>31</v>
      </c>
      <c r="L32" s="2" t="s">
        <v>131</v>
      </c>
      <c r="M32" s="5" t="str">
        <f aca="false">IF(COUNTIF($A$2:$A$105,A32)&gt;1,"DUPLICATE",IF(ISNA(MATCH(B32,Styles!$A$2:$A$27,0)),"BAD STYLE",IF(ISNA(MATCH(D32,'Code Tables'!$D$2:$D$40,0)),"BAD COLOR",IF(ISNA(MATCH(F32,'Code Tables'!$I$2:$I$20,0)),"BAD SIZE","ok"))))</f>
        <v>ok</v>
      </c>
      <c r="N32" s="2"/>
      <c r="O32" s="5" t="n">
        <f aca="false">IF(COUNTIFS($B$2:B32,B32,$D$2:D32,D32)=1,1,0)</f>
        <v>1</v>
      </c>
    </row>
    <row r="33" customFormat="false" ht="15" hidden="false" customHeight="false" outlineLevel="0" collapsed="false">
      <c r="A33" s="5" t="str">
        <f aca="false">B33&amp;"-"&amp;D33&amp;"-"&amp;F33</f>
        <v>DR101-BLK-02</v>
      </c>
      <c r="B33" s="2" t="s">
        <v>38</v>
      </c>
      <c r="C33" s="5" t="str">
        <f aca="false">IFERROR(INDEX(Styles!$B$2:$B$27,MATCH(B33,Styles!$A$2:$A$27,0)),"?")</f>
        <v>You Dress</v>
      </c>
      <c r="D33" s="2" t="s">
        <v>126</v>
      </c>
      <c r="E33" s="5" t="str">
        <f aca="false">IFERROR(INDEX('Code Tables'!$E$2:$E$40,MATCH(D33,'Code Tables'!$D$2:$D$40,0)),"?")</f>
        <v>Black</v>
      </c>
      <c r="F33" s="7" t="s">
        <v>132</v>
      </c>
      <c r="G33" s="5" t="str">
        <f aca="false">IFERROR(INDEX('Code Tables'!$J$2:$J$20,MATCH(F33,'Code Tables'!$I$2:$I$20,0)),"?")</f>
        <v>Size 2</v>
      </c>
      <c r="H33" s="2" t="s">
        <v>203</v>
      </c>
      <c r="I33" s="2" t="s">
        <v>133</v>
      </c>
      <c r="J33" s="2" t="s">
        <v>205</v>
      </c>
      <c r="K33" s="2" t="s">
        <v>31</v>
      </c>
      <c r="L33" s="2" t="s">
        <v>131</v>
      </c>
      <c r="M33" s="5" t="str">
        <f aca="false">IF(COUNTIF($A$2:$A$105,A33)&gt;1,"DUPLICATE",IF(ISNA(MATCH(B33,Styles!$A$2:$A$27,0)),"BAD STYLE",IF(ISNA(MATCH(D33,'Code Tables'!$D$2:$D$40,0)),"BAD COLOR",IF(ISNA(MATCH(F33,'Code Tables'!$I$2:$I$20,0)),"BAD SIZE","ok"))))</f>
        <v>ok</v>
      </c>
      <c r="N33" s="2"/>
      <c r="O33" s="5" t="n">
        <f aca="false">IF(COUNTIFS($B$2:B33,B33,$D$2:D33,D33)=1,1,0)</f>
        <v>0</v>
      </c>
    </row>
    <row r="34" customFormat="false" ht="15" hidden="false" customHeight="false" outlineLevel="0" collapsed="false">
      <c r="A34" s="5" t="str">
        <f aca="false">B34&amp;"-"&amp;D34&amp;"-"&amp;F34</f>
        <v>DR101-BLK-03</v>
      </c>
      <c r="B34" s="2" t="s">
        <v>38</v>
      </c>
      <c r="C34" s="5" t="str">
        <f aca="false">IFERROR(INDEX(Styles!$B$2:$B$27,MATCH(B34,Styles!$A$2:$A$27,0)),"?")</f>
        <v>You Dress</v>
      </c>
      <c r="D34" s="2" t="s">
        <v>126</v>
      </c>
      <c r="E34" s="5" t="str">
        <f aca="false">IFERROR(INDEX('Code Tables'!$E$2:$E$40,MATCH(D34,'Code Tables'!$D$2:$D$40,0)),"?")</f>
        <v>Black</v>
      </c>
      <c r="F34" s="7" t="s">
        <v>135</v>
      </c>
      <c r="G34" s="5" t="str">
        <f aca="false">IFERROR(INDEX('Code Tables'!$J$2:$J$20,MATCH(F34,'Code Tables'!$I$2:$I$20,0)),"?")</f>
        <v>Size 3</v>
      </c>
      <c r="H34" s="2" t="s">
        <v>203</v>
      </c>
      <c r="I34" s="2" t="s">
        <v>136</v>
      </c>
      <c r="J34" s="2" t="s">
        <v>206</v>
      </c>
      <c r="K34" s="2" t="s">
        <v>31</v>
      </c>
      <c r="L34" s="2" t="s">
        <v>131</v>
      </c>
      <c r="M34" s="5" t="str">
        <f aca="false">IF(COUNTIF($A$2:$A$105,A34)&gt;1,"DUPLICATE",IF(ISNA(MATCH(B34,Styles!$A$2:$A$27,0)),"BAD STYLE",IF(ISNA(MATCH(D34,'Code Tables'!$D$2:$D$40,0)),"BAD COLOR",IF(ISNA(MATCH(F34,'Code Tables'!$I$2:$I$20,0)),"BAD SIZE","ok"))))</f>
        <v>ok</v>
      </c>
      <c r="N34" s="2"/>
      <c r="O34" s="5" t="n">
        <f aca="false">IF(COUNTIFS($B$2:B34,B34,$D$2:D34,D34)=1,1,0)</f>
        <v>0</v>
      </c>
    </row>
    <row r="35" customFormat="false" ht="15" hidden="false" customHeight="false" outlineLevel="0" collapsed="false">
      <c r="A35" s="5" t="str">
        <f aca="false">B35&amp;"-"&amp;D35&amp;"-"&amp;F35</f>
        <v>DR101-WHT-01</v>
      </c>
      <c r="B35" s="2" t="s">
        <v>38</v>
      </c>
      <c r="C35" s="5" t="str">
        <f aca="false">IFERROR(INDEX(Styles!$B$2:$B$27,MATCH(B35,Styles!$A$2:$A$27,0)),"?")</f>
        <v>You Dress</v>
      </c>
      <c r="D35" s="2" t="s">
        <v>138</v>
      </c>
      <c r="E35" s="5" t="str">
        <f aca="false">IFERROR(INDEX('Code Tables'!$E$2:$E$40,MATCH(D35,'Code Tables'!$D$2:$D$40,0)),"?")</f>
        <v>White</v>
      </c>
      <c r="F35" s="7" t="s">
        <v>127</v>
      </c>
      <c r="G35" s="5" t="str">
        <f aca="false">IFERROR(INDEX('Code Tables'!$J$2:$J$20,MATCH(F35,'Code Tables'!$I$2:$I$20,0)),"?")</f>
        <v>Size 1</v>
      </c>
      <c r="H35" s="2" t="s">
        <v>203</v>
      </c>
      <c r="I35" s="2" t="s">
        <v>139</v>
      </c>
      <c r="J35" s="2" t="s">
        <v>207</v>
      </c>
      <c r="K35" s="2" t="s">
        <v>31</v>
      </c>
      <c r="L35" s="2" t="s">
        <v>131</v>
      </c>
      <c r="M35" s="5" t="str">
        <f aca="false">IF(COUNTIF($A$2:$A$105,A35)&gt;1,"DUPLICATE",IF(ISNA(MATCH(B35,Styles!$A$2:$A$27,0)),"BAD STYLE",IF(ISNA(MATCH(D35,'Code Tables'!$D$2:$D$40,0)),"BAD COLOR",IF(ISNA(MATCH(F35,'Code Tables'!$I$2:$I$20,0)),"BAD SIZE","ok"))))</f>
        <v>ok</v>
      </c>
      <c r="N35" s="2"/>
      <c r="O35" s="5" t="n">
        <f aca="false">IF(COUNTIFS($B$2:B35,B35,$D$2:D35,D35)=1,1,0)</f>
        <v>1</v>
      </c>
    </row>
    <row r="36" customFormat="false" ht="15" hidden="false" customHeight="false" outlineLevel="0" collapsed="false">
      <c r="A36" s="5" t="str">
        <f aca="false">B36&amp;"-"&amp;D36&amp;"-"&amp;F36</f>
        <v>DR101-WHT-02</v>
      </c>
      <c r="B36" s="2" t="s">
        <v>38</v>
      </c>
      <c r="C36" s="5" t="str">
        <f aca="false">IFERROR(INDEX(Styles!$B$2:$B$27,MATCH(B36,Styles!$A$2:$A$27,0)),"?")</f>
        <v>You Dress</v>
      </c>
      <c r="D36" s="2" t="s">
        <v>138</v>
      </c>
      <c r="E36" s="5" t="str">
        <f aca="false">IFERROR(INDEX('Code Tables'!$E$2:$E$40,MATCH(D36,'Code Tables'!$D$2:$D$40,0)),"?")</f>
        <v>White</v>
      </c>
      <c r="F36" s="7" t="s">
        <v>132</v>
      </c>
      <c r="G36" s="5" t="str">
        <f aca="false">IFERROR(INDEX('Code Tables'!$J$2:$J$20,MATCH(F36,'Code Tables'!$I$2:$I$20,0)),"?")</f>
        <v>Size 2</v>
      </c>
      <c r="H36" s="2" t="s">
        <v>203</v>
      </c>
      <c r="I36" s="2" t="s">
        <v>141</v>
      </c>
      <c r="J36" s="2" t="s">
        <v>208</v>
      </c>
      <c r="K36" s="2" t="s">
        <v>31</v>
      </c>
      <c r="L36" s="2" t="s">
        <v>131</v>
      </c>
      <c r="M36" s="5" t="str">
        <f aca="false">IF(COUNTIF($A$2:$A$105,A36)&gt;1,"DUPLICATE",IF(ISNA(MATCH(B36,Styles!$A$2:$A$27,0)),"BAD STYLE",IF(ISNA(MATCH(D36,'Code Tables'!$D$2:$D$40,0)),"BAD COLOR",IF(ISNA(MATCH(F36,'Code Tables'!$I$2:$I$20,0)),"BAD SIZE","ok"))))</f>
        <v>ok</v>
      </c>
      <c r="N36" s="2"/>
      <c r="O36" s="5" t="n">
        <f aca="false">IF(COUNTIFS($B$2:B36,B36,$D$2:D36,D36)=1,1,0)</f>
        <v>0</v>
      </c>
    </row>
    <row r="37" customFormat="false" ht="15" hidden="false" customHeight="false" outlineLevel="0" collapsed="false">
      <c r="A37" s="5" t="str">
        <f aca="false">B37&amp;"-"&amp;D37&amp;"-"&amp;F37</f>
        <v>DR101-WHT-03</v>
      </c>
      <c r="B37" s="2" t="s">
        <v>38</v>
      </c>
      <c r="C37" s="5" t="str">
        <f aca="false">IFERROR(INDEX(Styles!$B$2:$B$27,MATCH(B37,Styles!$A$2:$A$27,0)),"?")</f>
        <v>You Dress</v>
      </c>
      <c r="D37" s="2" t="s">
        <v>138</v>
      </c>
      <c r="E37" s="5" t="str">
        <f aca="false">IFERROR(INDEX('Code Tables'!$E$2:$E$40,MATCH(D37,'Code Tables'!$D$2:$D$40,0)),"?")</f>
        <v>White</v>
      </c>
      <c r="F37" s="7" t="s">
        <v>135</v>
      </c>
      <c r="G37" s="5" t="str">
        <f aca="false">IFERROR(INDEX('Code Tables'!$J$2:$J$20,MATCH(F37,'Code Tables'!$I$2:$I$20,0)),"?")</f>
        <v>Size 3</v>
      </c>
      <c r="H37" s="2" t="s">
        <v>203</v>
      </c>
      <c r="I37" s="2" t="s">
        <v>143</v>
      </c>
      <c r="J37" s="2" t="s">
        <v>209</v>
      </c>
      <c r="K37" s="2" t="s">
        <v>31</v>
      </c>
      <c r="L37" s="2" t="s">
        <v>131</v>
      </c>
      <c r="M37" s="5" t="str">
        <f aca="false">IF(COUNTIF($A$2:$A$105,A37)&gt;1,"DUPLICATE",IF(ISNA(MATCH(B37,Styles!$A$2:$A$27,0)),"BAD STYLE",IF(ISNA(MATCH(D37,'Code Tables'!$D$2:$D$40,0)),"BAD COLOR",IF(ISNA(MATCH(F37,'Code Tables'!$I$2:$I$20,0)),"BAD SIZE","ok"))))</f>
        <v>ok</v>
      </c>
      <c r="N37" s="2"/>
      <c r="O37" s="5" t="n">
        <f aca="false">IF(COUNTIFS($B$2:B37,B37,$D$2:D37,D37)=1,1,0)</f>
        <v>0</v>
      </c>
    </row>
    <row r="38" customFormat="false" ht="15" hidden="false" customHeight="false" outlineLevel="0" collapsed="false">
      <c r="A38" s="5" t="str">
        <f aca="false">B38&amp;"-"&amp;D38&amp;"-"&amp;F38</f>
        <v>DR102-WLT-00</v>
      </c>
      <c r="B38" s="2" t="s">
        <v>41</v>
      </c>
      <c r="C38" s="5" t="str">
        <f aca="false">IFERROR(INDEX(Styles!$B$2:$B$27,MATCH(B38,Styles!$A$2:$A$27,0)),"?")</f>
        <v>Story Dress</v>
      </c>
      <c r="D38" s="2" t="s">
        <v>210</v>
      </c>
      <c r="E38" s="5" t="str">
        <f aca="false">IFERROR(INDEX('Code Tables'!$E$2:$E$40,MATCH(D38,'Code Tables'!$D$2:$D$40,0)),"?")</f>
        <v>Wiltshire (Red)</v>
      </c>
      <c r="F38" s="7" t="s">
        <v>211</v>
      </c>
      <c r="G38" s="5" t="str">
        <f aca="false">IFERROR(INDEX('Code Tables'!$J$2:$J$20,MATCH(F38,'Code Tables'!$I$2:$I$20,0)),"?")</f>
        <v>Size 0</v>
      </c>
      <c r="H38" s="2" t="s">
        <v>212</v>
      </c>
      <c r="I38" s="2" t="s">
        <v>213</v>
      </c>
      <c r="J38" s="2"/>
      <c r="K38" s="2" t="s">
        <v>31</v>
      </c>
      <c r="L38" s="2"/>
      <c r="M38" s="5" t="str">
        <f aca="false">IF(COUNTIF($A$2:$A$105,A38)&gt;1,"DUPLICATE",IF(ISNA(MATCH(B38,Styles!$A$2:$A$27,0)),"BAD STYLE",IF(ISNA(MATCH(D38,'Code Tables'!$D$2:$D$40,0)),"BAD COLOR",IF(ISNA(MATCH(F38,'Code Tables'!$I$2:$I$20,0)),"BAD SIZE","ok"))))</f>
        <v>ok</v>
      </c>
      <c r="N38" s="2"/>
      <c r="O38" s="5" t="n">
        <f aca="false">IF(COUNTIFS($B$2:B38,B38,$D$2:D38,D38)=1,1,0)</f>
        <v>1</v>
      </c>
    </row>
    <row r="39" customFormat="false" ht="15" hidden="false" customHeight="false" outlineLevel="0" collapsed="false">
      <c r="A39" s="5" t="str">
        <f aca="false">B39&amp;"-"&amp;D39&amp;"-"&amp;F39</f>
        <v>DR102-WLT-01</v>
      </c>
      <c r="B39" s="2" t="s">
        <v>41</v>
      </c>
      <c r="C39" s="5" t="str">
        <f aca="false">IFERROR(INDEX(Styles!$B$2:$B$27,MATCH(B39,Styles!$A$2:$A$27,0)),"?")</f>
        <v>Story Dress</v>
      </c>
      <c r="D39" s="2" t="s">
        <v>210</v>
      </c>
      <c r="E39" s="5" t="str">
        <f aca="false">IFERROR(INDEX('Code Tables'!$E$2:$E$40,MATCH(D39,'Code Tables'!$D$2:$D$40,0)),"?")</f>
        <v>Wiltshire (Red)</v>
      </c>
      <c r="F39" s="7" t="s">
        <v>127</v>
      </c>
      <c r="G39" s="5" t="str">
        <f aca="false">IFERROR(INDEX('Code Tables'!$J$2:$J$20,MATCH(F39,'Code Tables'!$I$2:$I$20,0)),"?")</f>
        <v>Size 1</v>
      </c>
      <c r="H39" s="2" t="s">
        <v>212</v>
      </c>
      <c r="I39" s="2" t="s">
        <v>214</v>
      </c>
      <c r="J39" s="2"/>
      <c r="K39" s="2" t="s">
        <v>31</v>
      </c>
      <c r="L39" s="2"/>
      <c r="M39" s="5" t="str">
        <f aca="false">IF(COUNTIF($A$2:$A$105,A39)&gt;1,"DUPLICATE",IF(ISNA(MATCH(B39,Styles!$A$2:$A$27,0)),"BAD STYLE",IF(ISNA(MATCH(D39,'Code Tables'!$D$2:$D$40,0)),"BAD COLOR",IF(ISNA(MATCH(F39,'Code Tables'!$I$2:$I$20,0)),"BAD SIZE","ok"))))</f>
        <v>ok</v>
      </c>
      <c r="N39" s="2"/>
      <c r="O39" s="5" t="n">
        <f aca="false">IF(COUNTIFS($B$2:B39,B39,$D$2:D39,D39)=1,1,0)</f>
        <v>0</v>
      </c>
    </row>
    <row r="40" customFormat="false" ht="15" hidden="false" customHeight="false" outlineLevel="0" collapsed="false">
      <c r="A40" s="5" t="str">
        <f aca="false">B40&amp;"-"&amp;D40&amp;"-"&amp;F40</f>
        <v>DR102-WLT-02</v>
      </c>
      <c r="B40" s="2" t="s">
        <v>41</v>
      </c>
      <c r="C40" s="5" t="str">
        <f aca="false">IFERROR(INDEX(Styles!$B$2:$B$27,MATCH(B40,Styles!$A$2:$A$27,0)),"?")</f>
        <v>Story Dress</v>
      </c>
      <c r="D40" s="2" t="s">
        <v>210</v>
      </c>
      <c r="E40" s="5" t="str">
        <f aca="false">IFERROR(INDEX('Code Tables'!$E$2:$E$40,MATCH(D40,'Code Tables'!$D$2:$D$40,0)),"?")</f>
        <v>Wiltshire (Red)</v>
      </c>
      <c r="F40" s="7" t="s">
        <v>132</v>
      </c>
      <c r="G40" s="5" t="str">
        <f aca="false">IFERROR(INDEX('Code Tables'!$J$2:$J$20,MATCH(F40,'Code Tables'!$I$2:$I$20,0)),"?")</f>
        <v>Size 2</v>
      </c>
      <c r="H40" s="2" t="s">
        <v>212</v>
      </c>
      <c r="I40" s="2" t="s">
        <v>215</v>
      </c>
      <c r="J40" s="2"/>
      <c r="K40" s="2" t="s">
        <v>31</v>
      </c>
      <c r="L40" s="2"/>
      <c r="M40" s="5" t="str">
        <f aca="false">IF(COUNTIF($A$2:$A$105,A40)&gt;1,"DUPLICATE",IF(ISNA(MATCH(B40,Styles!$A$2:$A$27,0)),"BAD STYLE",IF(ISNA(MATCH(D40,'Code Tables'!$D$2:$D$40,0)),"BAD COLOR",IF(ISNA(MATCH(F40,'Code Tables'!$I$2:$I$20,0)),"BAD SIZE","ok"))))</f>
        <v>ok</v>
      </c>
      <c r="N40" s="2"/>
      <c r="O40" s="5" t="n">
        <f aca="false">IF(COUNTIFS($B$2:B40,B40,$D$2:D40,D40)=1,1,0)</f>
        <v>0</v>
      </c>
    </row>
    <row r="41" customFormat="false" ht="15" hidden="false" customHeight="false" outlineLevel="0" collapsed="false">
      <c r="A41" s="5" t="str">
        <f aca="false">B41&amp;"-"&amp;D41&amp;"-"&amp;F41</f>
        <v>DR102-WLT-03</v>
      </c>
      <c r="B41" s="2" t="s">
        <v>41</v>
      </c>
      <c r="C41" s="5" t="str">
        <f aca="false">IFERROR(INDEX(Styles!$B$2:$B$27,MATCH(B41,Styles!$A$2:$A$27,0)),"?")</f>
        <v>Story Dress</v>
      </c>
      <c r="D41" s="2" t="s">
        <v>210</v>
      </c>
      <c r="E41" s="5" t="str">
        <f aca="false">IFERROR(INDEX('Code Tables'!$E$2:$E$40,MATCH(D41,'Code Tables'!$D$2:$D$40,0)),"?")</f>
        <v>Wiltshire (Red)</v>
      </c>
      <c r="F41" s="7" t="s">
        <v>135</v>
      </c>
      <c r="G41" s="5" t="str">
        <f aca="false">IFERROR(INDEX('Code Tables'!$J$2:$J$20,MATCH(F41,'Code Tables'!$I$2:$I$20,0)),"?")</f>
        <v>Size 3</v>
      </c>
      <c r="H41" s="2" t="s">
        <v>212</v>
      </c>
      <c r="I41" s="2" t="s">
        <v>216</v>
      </c>
      <c r="J41" s="2"/>
      <c r="K41" s="2" t="s">
        <v>31</v>
      </c>
      <c r="L41" s="2"/>
      <c r="M41" s="5" t="str">
        <f aca="false">IF(COUNTIF($A$2:$A$105,A41)&gt;1,"DUPLICATE",IF(ISNA(MATCH(B41,Styles!$A$2:$A$27,0)),"BAD STYLE",IF(ISNA(MATCH(D41,'Code Tables'!$D$2:$D$40,0)),"BAD COLOR",IF(ISNA(MATCH(F41,'Code Tables'!$I$2:$I$20,0)),"BAD SIZE","ok"))))</f>
        <v>ok</v>
      </c>
      <c r="N41" s="2"/>
      <c r="O41" s="5" t="n">
        <f aca="false">IF(COUNTIFS($B$2:B41,B41,$D$2:D41,D41)=1,1,0)</f>
        <v>0</v>
      </c>
    </row>
    <row r="42" customFormat="false" ht="15" hidden="false" customHeight="false" outlineLevel="0" collapsed="false">
      <c r="A42" s="5" t="str">
        <f aca="false">B42&amp;"-"&amp;D42&amp;"-"&amp;F42</f>
        <v>DR102-BTS-00</v>
      </c>
      <c r="B42" s="2" t="s">
        <v>41</v>
      </c>
      <c r="C42" s="5" t="str">
        <f aca="false">IFERROR(INDEX(Styles!$B$2:$B$27,MATCH(B42,Styles!$A$2:$A$27,0)),"?")</f>
        <v>Story Dress</v>
      </c>
      <c r="D42" s="2" t="s">
        <v>217</v>
      </c>
      <c r="E42" s="5" t="str">
        <f aca="false">IFERROR(INDEX('Code Tables'!$E$2:$E$40,MATCH(D42,'Code Tables'!$D$2:$D$40,0)),"?")</f>
        <v>Betsey (Green)</v>
      </c>
      <c r="F42" s="7" t="s">
        <v>211</v>
      </c>
      <c r="G42" s="5" t="str">
        <f aca="false">IFERROR(INDEX('Code Tables'!$J$2:$J$20,MATCH(F42,'Code Tables'!$I$2:$I$20,0)),"?")</f>
        <v>Size 0</v>
      </c>
      <c r="H42" s="2" t="s">
        <v>212</v>
      </c>
      <c r="I42" s="2" t="s">
        <v>218</v>
      </c>
      <c r="J42" s="2"/>
      <c r="K42" s="2" t="s">
        <v>31</v>
      </c>
      <c r="L42" s="2"/>
      <c r="M42" s="5" t="str">
        <f aca="false">IF(COUNTIF($A$2:$A$105,A42)&gt;1,"DUPLICATE",IF(ISNA(MATCH(B42,Styles!$A$2:$A$27,0)),"BAD STYLE",IF(ISNA(MATCH(D42,'Code Tables'!$D$2:$D$40,0)),"BAD COLOR",IF(ISNA(MATCH(F42,'Code Tables'!$I$2:$I$20,0)),"BAD SIZE","ok"))))</f>
        <v>ok</v>
      </c>
      <c r="N42" s="2"/>
      <c r="O42" s="5" t="n">
        <f aca="false">IF(COUNTIFS($B$2:B42,B42,$D$2:D42,D42)=1,1,0)</f>
        <v>1</v>
      </c>
    </row>
    <row r="43" customFormat="false" ht="15" hidden="false" customHeight="false" outlineLevel="0" collapsed="false">
      <c r="A43" s="5" t="str">
        <f aca="false">B43&amp;"-"&amp;D43&amp;"-"&amp;F43</f>
        <v>DR102-BTS-01</v>
      </c>
      <c r="B43" s="2" t="s">
        <v>41</v>
      </c>
      <c r="C43" s="5" t="str">
        <f aca="false">IFERROR(INDEX(Styles!$B$2:$B$27,MATCH(B43,Styles!$A$2:$A$27,0)),"?")</f>
        <v>Story Dress</v>
      </c>
      <c r="D43" s="2" t="s">
        <v>217</v>
      </c>
      <c r="E43" s="5" t="str">
        <f aca="false">IFERROR(INDEX('Code Tables'!$E$2:$E$40,MATCH(D43,'Code Tables'!$D$2:$D$40,0)),"?")</f>
        <v>Betsey (Green)</v>
      </c>
      <c r="F43" s="7" t="s">
        <v>127</v>
      </c>
      <c r="G43" s="5" t="str">
        <f aca="false">IFERROR(INDEX('Code Tables'!$J$2:$J$20,MATCH(F43,'Code Tables'!$I$2:$I$20,0)),"?")</f>
        <v>Size 1</v>
      </c>
      <c r="H43" s="2" t="s">
        <v>212</v>
      </c>
      <c r="I43" s="2" t="s">
        <v>219</v>
      </c>
      <c r="J43" s="2"/>
      <c r="K43" s="2" t="s">
        <v>31</v>
      </c>
      <c r="L43" s="2"/>
      <c r="M43" s="5" t="str">
        <f aca="false">IF(COUNTIF($A$2:$A$105,A43)&gt;1,"DUPLICATE",IF(ISNA(MATCH(B43,Styles!$A$2:$A$27,0)),"BAD STYLE",IF(ISNA(MATCH(D43,'Code Tables'!$D$2:$D$40,0)),"BAD COLOR",IF(ISNA(MATCH(F43,'Code Tables'!$I$2:$I$20,0)),"BAD SIZE","ok"))))</f>
        <v>ok</v>
      </c>
      <c r="N43" s="2"/>
      <c r="O43" s="5" t="n">
        <f aca="false">IF(COUNTIFS($B$2:B43,B43,$D$2:D43,D43)=1,1,0)</f>
        <v>0</v>
      </c>
    </row>
    <row r="44" customFormat="false" ht="15" hidden="false" customHeight="false" outlineLevel="0" collapsed="false">
      <c r="A44" s="5" t="str">
        <f aca="false">B44&amp;"-"&amp;D44&amp;"-"&amp;F44</f>
        <v>DR102-BTS-02</v>
      </c>
      <c r="B44" s="2" t="s">
        <v>41</v>
      </c>
      <c r="C44" s="5" t="str">
        <f aca="false">IFERROR(INDEX(Styles!$B$2:$B$27,MATCH(B44,Styles!$A$2:$A$27,0)),"?")</f>
        <v>Story Dress</v>
      </c>
      <c r="D44" s="2" t="s">
        <v>217</v>
      </c>
      <c r="E44" s="5" t="str">
        <f aca="false">IFERROR(INDEX('Code Tables'!$E$2:$E$40,MATCH(D44,'Code Tables'!$D$2:$D$40,0)),"?")</f>
        <v>Betsey (Green)</v>
      </c>
      <c r="F44" s="7" t="s">
        <v>132</v>
      </c>
      <c r="G44" s="5" t="str">
        <f aca="false">IFERROR(INDEX('Code Tables'!$J$2:$J$20,MATCH(F44,'Code Tables'!$I$2:$I$20,0)),"?")</f>
        <v>Size 2</v>
      </c>
      <c r="H44" s="2" t="s">
        <v>212</v>
      </c>
      <c r="I44" s="2" t="s">
        <v>220</v>
      </c>
      <c r="J44" s="2"/>
      <c r="K44" s="2" t="s">
        <v>31</v>
      </c>
      <c r="L44" s="2"/>
      <c r="M44" s="5" t="str">
        <f aca="false">IF(COUNTIF($A$2:$A$105,A44)&gt;1,"DUPLICATE",IF(ISNA(MATCH(B44,Styles!$A$2:$A$27,0)),"BAD STYLE",IF(ISNA(MATCH(D44,'Code Tables'!$D$2:$D$40,0)),"BAD COLOR",IF(ISNA(MATCH(F44,'Code Tables'!$I$2:$I$20,0)),"BAD SIZE","ok"))))</f>
        <v>ok</v>
      </c>
      <c r="N44" s="2"/>
      <c r="O44" s="5" t="n">
        <f aca="false">IF(COUNTIFS($B$2:B44,B44,$D$2:D44,D44)=1,1,0)</f>
        <v>0</v>
      </c>
    </row>
    <row r="45" customFormat="false" ht="15" hidden="false" customHeight="false" outlineLevel="0" collapsed="false">
      <c r="A45" s="5" t="str">
        <f aca="false">B45&amp;"-"&amp;D45&amp;"-"&amp;F45</f>
        <v>DR102-BTS-03</v>
      </c>
      <c r="B45" s="2" t="s">
        <v>41</v>
      </c>
      <c r="C45" s="5" t="str">
        <f aca="false">IFERROR(INDEX(Styles!$B$2:$B$27,MATCH(B45,Styles!$A$2:$A$27,0)),"?")</f>
        <v>Story Dress</v>
      </c>
      <c r="D45" s="2" t="s">
        <v>217</v>
      </c>
      <c r="E45" s="5" t="str">
        <f aca="false">IFERROR(INDEX('Code Tables'!$E$2:$E$40,MATCH(D45,'Code Tables'!$D$2:$D$40,0)),"?")</f>
        <v>Betsey (Green)</v>
      </c>
      <c r="F45" s="7" t="s">
        <v>135</v>
      </c>
      <c r="G45" s="5" t="str">
        <f aca="false">IFERROR(INDEX('Code Tables'!$J$2:$J$20,MATCH(F45,'Code Tables'!$I$2:$I$20,0)),"?")</f>
        <v>Size 3</v>
      </c>
      <c r="H45" s="2" t="s">
        <v>212</v>
      </c>
      <c r="I45" s="2" t="s">
        <v>221</v>
      </c>
      <c r="J45" s="2"/>
      <c r="K45" s="2" t="s">
        <v>31</v>
      </c>
      <c r="L45" s="2"/>
      <c r="M45" s="5" t="str">
        <f aca="false">IF(COUNTIF($A$2:$A$105,A45)&gt;1,"DUPLICATE",IF(ISNA(MATCH(B45,Styles!$A$2:$A$27,0)),"BAD STYLE",IF(ISNA(MATCH(D45,'Code Tables'!$D$2:$D$40,0)),"BAD COLOR",IF(ISNA(MATCH(F45,'Code Tables'!$I$2:$I$20,0)),"BAD SIZE","ok"))))</f>
        <v>ok</v>
      </c>
      <c r="N45" s="2"/>
      <c r="O45" s="5" t="n">
        <f aca="false">IF(COUNTIFS($B$2:B45,B45,$D$2:D45,D45)=1,1,0)</f>
        <v>0</v>
      </c>
    </row>
    <row r="46" customFormat="false" ht="15" hidden="false" customHeight="false" outlineLevel="0" collapsed="false">
      <c r="A46" s="5" t="str">
        <f aca="false">B46&amp;"-"&amp;D46&amp;"-"&amp;F46</f>
        <v>BG101-CHC-OS</v>
      </c>
      <c r="B46" s="2" t="s">
        <v>50</v>
      </c>
      <c r="C46" s="5" t="str">
        <f aca="false">IFERROR(INDEX(Styles!$B$2:$B$27,MATCH(B46,Styles!$A$2:$A$27,0)),"?")</f>
        <v>Cleo Bag</v>
      </c>
      <c r="D46" s="2" t="s">
        <v>222</v>
      </c>
      <c r="E46" s="5" t="str">
        <f aca="false">IFERROR(INDEX('Code Tables'!$E$2:$E$40,MATCH(D46,'Code Tables'!$D$2:$D$40,0)),"?")</f>
        <v>Chocolate</v>
      </c>
      <c r="F46" s="7" t="s">
        <v>52</v>
      </c>
      <c r="G46" s="5" t="str">
        <f aca="false">IFERROR(INDEX('Code Tables'!$J$2:$J$20,MATCH(F46,'Code Tables'!$I$2:$I$20,0)),"?")</f>
        <v>One Size</v>
      </c>
      <c r="H46" s="2" t="s">
        <v>223</v>
      </c>
      <c r="I46" s="2" t="s">
        <v>224</v>
      </c>
      <c r="J46" s="2" t="s">
        <v>225</v>
      </c>
      <c r="K46" s="2" t="s">
        <v>31</v>
      </c>
      <c r="L46" s="2" t="s">
        <v>226</v>
      </c>
      <c r="M46" s="5" t="str">
        <f aca="false">IF(COUNTIF($A$2:$A$105,A46)&gt;1,"DUPLICATE",IF(ISNA(MATCH(B46,Styles!$A$2:$A$27,0)),"BAD STYLE",IF(ISNA(MATCH(D46,'Code Tables'!$D$2:$D$40,0)),"BAD COLOR",IF(ISNA(MATCH(F46,'Code Tables'!$I$2:$I$20,0)),"BAD SIZE","ok"))))</f>
        <v>ok</v>
      </c>
      <c r="N46" s="2"/>
      <c r="O46" s="5" t="n">
        <f aca="false">IF(COUNTIFS($B$2:B46,B46,$D$2:D46,D46)=1,1,0)</f>
        <v>1</v>
      </c>
    </row>
    <row r="47" customFormat="false" ht="15" hidden="false" customHeight="false" outlineLevel="0" collapsed="false">
      <c r="A47" s="5" t="str">
        <f aca="false">B47&amp;"-"&amp;D47&amp;"-"&amp;F47</f>
        <v>BG101-BLK-OS</v>
      </c>
      <c r="B47" s="2" t="s">
        <v>50</v>
      </c>
      <c r="C47" s="5" t="str">
        <f aca="false">IFERROR(INDEX(Styles!$B$2:$B$27,MATCH(B47,Styles!$A$2:$A$27,0)),"?")</f>
        <v>Cleo Bag</v>
      </c>
      <c r="D47" s="2" t="s">
        <v>126</v>
      </c>
      <c r="E47" s="5" t="str">
        <f aca="false">IFERROR(INDEX('Code Tables'!$E$2:$E$40,MATCH(D47,'Code Tables'!$D$2:$D$40,0)),"?")</f>
        <v>Black</v>
      </c>
      <c r="F47" s="7" t="s">
        <v>52</v>
      </c>
      <c r="G47" s="5" t="str">
        <f aca="false">IFERROR(INDEX('Code Tables'!$J$2:$J$20,MATCH(F47,'Code Tables'!$I$2:$I$20,0)),"?")</f>
        <v>One Size</v>
      </c>
      <c r="H47" s="2" t="s">
        <v>227</v>
      </c>
      <c r="I47" s="2" t="s">
        <v>224</v>
      </c>
      <c r="J47" s="2" t="s">
        <v>228</v>
      </c>
      <c r="K47" s="2" t="s">
        <v>31</v>
      </c>
      <c r="L47" s="2" t="s">
        <v>226</v>
      </c>
      <c r="M47" s="5" t="str">
        <f aca="false">IF(COUNTIF($A$2:$A$105,A47)&gt;1,"DUPLICATE",IF(ISNA(MATCH(B47,Styles!$A$2:$A$27,0)),"BAD STYLE",IF(ISNA(MATCH(D47,'Code Tables'!$D$2:$D$40,0)),"BAD COLOR",IF(ISNA(MATCH(F47,'Code Tables'!$I$2:$I$20,0)),"BAD SIZE","ok"))))</f>
        <v>ok</v>
      </c>
      <c r="N47" s="2"/>
      <c r="O47" s="5" t="n">
        <f aca="false">IF(COUNTIFS($B$2:B47,B47,$D$2:D47,D47)=1,1,0)</f>
        <v>1</v>
      </c>
    </row>
    <row r="48" customFormat="false" ht="15" hidden="false" customHeight="false" outlineLevel="0" collapsed="false">
      <c r="A48" s="5" t="str">
        <f aca="false">B48&amp;"-"&amp;D48&amp;"-"&amp;F48</f>
        <v>BG101-SLV-OS</v>
      </c>
      <c r="B48" s="2" t="s">
        <v>50</v>
      </c>
      <c r="C48" s="5" t="str">
        <f aca="false">IFERROR(INDEX(Styles!$B$2:$B$27,MATCH(B48,Styles!$A$2:$A$27,0)),"?")</f>
        <v>Cleo Bag</v>
      </c>
      <c r="D48" s="2" t="s">
        <v>229</v>
      </c>
      <c r="E48" s="5" t="str">
        <f aca="false">IFERROR(INDEX('Code Tables'!$E$2:$E$40,MATCH(D48,'Code Tables'!$D$2:$D$40,0)),"?")</f>
        <v>Silver</v>
      </c>
      <c r="F48" s="7" t="s">
        <v>52</v>
      </c>
      <c r="G48" s="5" t="str">
        <f aca="false">IFERROR(INDEX('Code Tables'!$J$2:$J$20,MATCH(F48,'Code Tables'!$I$2:$I$20,0)),"?")</f>
        <v>One Size</v>
      </c>
      <c r="H48" s="2" t="s">
        <v>230</v>
      </c>
      <c r="I48" s="2" t="s">
        <v>224</v>
      </c>
      <c r="J48" s="2" t="s">
        <v>231</v>
      </c>
      <c r="K48" s="2" t="s">
        <v>31</v>
      </c>
      <c r="L48" s="2" t="s">
        <v>226</v>
      </c>
      <c r="M48" s="5" t="str">
        <f aca="false">IF(COUNTIF($A$2:$A$105,A48)&gt;1,"DUPLICATE",IF(ISNA(MATCH(B48,Styles!$A$2:$A$27,0)),"BAD STYLE",IF(ISNA(MATCH(D48,'Code Tables'!$D$2:$D$40,0)),"BAD COLOR",IF(ISNA(MATCH(F48,'Code Tables'!$I$2:$I$20,0)),"BAD SIZE","ok"))))</f>
        <v>ok</v>
      </c>
      <c r="N48" s="2"/>
      <c r="O48" s="5" t="n">
        <f aca="false">IF(COUNTIFS($B$2:B48,B48,$D$2:D48,D48)=1,1,0)</f>
        <v>1</v>
      </c>
    </row>
    <row r="49" customFormat="false" ht="15" hidden="false" customHeight="false" outlineLevel="0" collapsed="false">
      <c r="A49" s="5" t="str">
        <f aca="false">B49&amp;"-"&amp;D49&amp;"-"&amp;F49</f>
        <v>BG101-DBL-OS</v>
      </c>
      <c r="B49" s="2" t="s">
        <v>50</v>
      </c>
      <c r="C49" s="5" t="str">
        <f aca="false">IFERROR(INDEX(Styles!$B$2:$B$27,MATCH(B49,Styles!$A$2:$A$27,0)),"?")</f>
        <v>Cleo Bag</v>
      </c>
      <c r="D49" s="2" t="s">
        <v>232</v>
      </c>
      <c r="E49" s="5" t="str">
        <f aca="false">IFERROR(INDEX('Code Tables'!$E$2:$E$40,MATCH(D49,'Code Tables'!$D$2:$D$40,0)),"?")</f>
        <v>Denim Baby Blue</v>
      </c>
      <c r="F49" s="7" t="s">
        <v>52</v>
      </c>
      <c r="G49" s="5" t="str">
        <f aca="false">IFERROR(INDEX('Code Tables'!$J$2:$J$20,MATCH(F49,'Code Tables'!$I$2:$I$20,0)),"?")</f>
        <v>One Size</v>
      </c>
      <c r="H49" s="2" t="s">
        <v>233</v>
      </c>
      <c r="I49" s="2" t="s">
        <v>234</v>
      </c>
      <c r="J49" s="2" t="s">
        <v>235</v>
      </c>
      <c r="K49" s="2" t="s">
        <v>31</v>
      </c>
      <c r="L49" s="2" t="s">
        <v>226</v>
      </c>
      <c r="M49" s="5" t="str">
        <f aca="false">IF(COUNTIF($A$2:$A$105,A49)&gt;1,"DUPLICATE",IF(ISNA(MATCH(B49,Styles!$A$2:$A$27,0)),"BAD STYLE",IF(ISNA(MATCH(D49,'Code Tables'!$D$2:$D$40,0)),"BAD COLOR",IF(ISNA(MATCH(F49,'Code Tables'!$I$2:$I$20,0)),"BAD SIZE","ok"))))</f>
        <v>ok</v>
      </c>
      <c r="N49" s="2"/>
      <c r="O49" s="5" t="n">
        <f aca="false">IF(COUNTIFS($B$2:B49,B49,$D$2:D49,D49)=1,1,0)</f>
        <v>1</v>
      </c>
    </row>
    <row r="50" customFormat="false" ht="15" hidden="false" customHeight="false" outlineLevel="0" collapsed="false">
      <c r="A50" s="5" t="str">
        <f aca="false">B50&amp;"-"&amp;D50&amp;"-"&amp;F50</f>
        <v>BG101-DPK-OS</v>
      </c>
      <c r="B50" s="2" t="s">
        <v>50</v>
      </c>
      <c r="C50" s="5" t="str">
        <f aca="false">IFERROR(INDEX(Styles!$B$2:$B$27,MATCH(B50,Styles!$A$2:$A$27,0)),"?")</f>
        <v>Cleo Bag</v>
      </c>
      <c r="D50" s="2" t="s">
        <v>236</v>
      </c>
      <c r="E50" s="5" t="str">
        <f aca="false">IFERROR(INDEX('Code Tables'!$E$2:$E$40,MATCH(D50,'Code Tables'!$D$2:$D$40,0)),"?")</f>
        <v>Denim Pink</v>
      </c>
      <c r="F50" s="7" t="s">
        <v>52</v>
      </c>
      <c r="G50" s="5" t="str">
        <f aca="false">IFERROR(INDEX('Code Tables'!$J$2:$J$20,MATCH(F50,'Code Tables'!$I$2:$I$20,0)),"?")</f>
        <v>One Size</v>
      </c>
      <c r="H50" s="2" t="s">
        <v>233</v>
      </c>
      <c r="I50" s="2" t="s">
        <v>237</v>
      </c>
      <c r="J50" s="2" t="s">
        <v>238</v>
      </c>
      <c r="K50" s="2" t="s">
        <v>31</v>
      </c>
      <c r="L50" s="2" t="s">
        <v>226</v>
      </c>
      <c r="M50" s="5" t="str">
        <f aca="false">IF(COUNTIF($A$2:$A$105,A50)&gt;1,"DUPLICATE",IF(ISNA(MATCH(B50,Styles!$A$2:$A$27,0)),"BAD STYLE",IF(ISNA(MATCH(D50,'Code Tables'!$D$2:$D$40,0)),"BAD COLOR",IF(ISNA(MATCH(F50,'Code Tables'!$I$2:$I$20,0)),"BAD SIZE","ok"))))</f>
        <v>ok</v>
      </c>
      <c r="N50" s="2"/>
      <c r="O50" s="5" t="n">
        <f aca="false">IF(COUNTIFS($B$2:B50,B50,$D$2:D50,D50)=1,1,0)</f>
        <v>1</v>
      </c>
    </row>
    <row r="51" customFormat="false" ht="15" hidden="false" customHeight="false" outlineLevel="0" collapsed="false">
      <c r="A51" s="5" t="str">
        <f aca="false">B51&amp;"-"&amp;D51&amp;"-"&amp;F51</f>
        <v>BG101-OLV-OS</v>
      </c>
      <c r="B51" s="2" t="s">
        <v>50</v>
      </c>
      <c r="C51" s="5" t="str">
        <f aca="false">IFERROR(INDEX(Styles!$B$2:$B$27,MATCH(B51,Styles!$A$2:$A$27,0)),"?")</f>
        <v>Cleo Bag</v>
      </c>
      <c r="D51" s="2" t="s">
        <v>239</v>
      </c>
      <c r="E51" s="5" t="str">
        <f aca="false">IFERROR(INDEX('Code Tables'!$E$2:$E$40,MATCH(D51,'Code Tables'!$D$2:$D$40,0)),"?")</f>
        <v>Olive</v>
      </c>
      <c r="F51" s="7" t="s">
        <v>52</v>
      </c>
      <c r="G51" s="5" t="str">
        <f aca="false">IFERROR(INDEX('Code Tables'!$J$2:$J$20,MATCH(F51,'Code Tables'!$I$2:$I$20,0)),"?")</f>
        <v>One Size</v>
      </c>
      <c r="H51" s="2" t="s">
        <v>240</v>
      </c>
      <c r="I51" s="2" t="s">
        <v>224</v>
      </c>
      <c r="J51" s="2" t="s">
        <v>241</v>
      </c>
      <c r="K51" s="2" t="s">
        <v>31</v>
      </c>
      <c r="L51" s="2" t="s">
        <v>226</v>
      </c>
      <c r="M51" s="5" t="str">
        <f aca="false">IF(COUNTIF($A$2:$A$105,A51)&gt;1,"DUPLICATE",IF(ISNA(MATCH(B51,Styles!$A$2:$A$27,0)),"BAD STYLE",IF(ISNA(MATCH(D51,'Code Tables'!$D$2:$D$40,0)),"BAD COLOR",IF(ISNA(MATCH(F51,'Code Tables'!$I$2:$I$20,0)),"BAD SIZE","ok"))))</f>
        <v>ok</v>
      </c>
      <c r="N51" s="2"/>
      <c r="O51" s="5" t="n">
        <f aca="false">IF(COUNTIFS($B$2:B51,B51,$D$2:D51,D51)=1,1,0)</f>
        <v>1</v>
      </c>
    </row>
    <row r="52" customFormat="false" ht="15" hidden="false" customHeight="false" outlineLevel="0" collapsed="false">
      <c r="A52" s="5" t="str">
        <f aca="false">B52&amp;"-"&amp;D52&amp;"-"&amp;F52</f>
        <v>BG102-BLK-OS</v>
      </c>
      <c r="B52" s="2" t="s">
        <v>54</v>
      </c>
      <c r="C52" s="5" t="str">
        <f aca="false">IFERROR(INDEX(Styles!$B$2:$B$27,MATCH(B52,Styles!$A$2:$A$27,0)),"?")</f>
        <v>Little Sister</v>
      </c>
      <c r="D52" s="2" t="s">
        <v>126</v>
      </c>
      <c r="E52" s="5" t="str">
        <f aca="false">IFERROR(INDEX('Code Tables'!$E$2:$E$40,MATCH(D52,'Code Tables'!$D$2:$D$40,0)),"?")</f>
        <v>Black</v>
      </c>
      <c r="F52" s="7" t="s">
        <v>52</v>
      </c>
      <c r="G52" s="5" t="str">
        <f aca="false">IFERROR(INDEX('Code Tables'!$J$2:$J$20,MATCH(F52,'Code Tables'!$I$2:$I$20,0)),"?")</f>
        <v>One Size</v>
      </c>
      <c r="H52" s="2" t="s">
        <v>242</v>
      </c>
      <c r="I52" s="2" t="s">
        <v>243</v>
      </c>
      <c r="J52" s="2"/>
      <c r="K52" s="2" t="s">
        <v>31</v>
      </c>
      <c r="L52" s="2"/>
      <c r="M52" s="5" t="str">
        <f aca="false">IF(COUNTIF($A$2:$A$105,A52)&gt;1,"DUPLICATE",IF(ISNA(MATCH(B52,Styles!$A$2:$A$27,0)),"BAD STYLE",IF(ISNA(MATCH(D52,'Code Tables'!$D$2:$D$40,0)),"BAD COLOR",IF(ISNA(MATCH(F52,'Code Tables'!$I$2:$I$20,0)),"BAD SIZE","ok"))))</f>
        <v>ok</v>
      </c>
      <c r="N52" s="2"/>
      <c r="O52" s="5" t="n">
        <f aca="false">IF(COUNTIFS($B$2:B52,B52,$D$2:D52,D52)=1,1,0)</f>
        <v>1</v>
      </c>
    </row>
    <row r="53" customFormat="false" ht="15" hidden="false" customHeight="false" outlineLevel="0" collapsed="false">
      <c r="A53" s="5" t="str">
        <f aca="false">B53&amp;"-"&amp;D53&amp;"-"&amp;F53</f>
        <v>BG103-SLV-OS</v>
      </c>
      <c r="B53" s="2" t="s">
        <v>57</v>
      </c>
      <c r="C53" s="5" t="str">
        <f aca="false">IFERROR(INDEX(Styles!$B$2:$B$27,MATCH(B53,Styles!$A$2:$A$27,0)),"?")</f>
        <v>Bateau Bag</v>
      </c>
      <c r="D53" s="2" t="s">
        <v>229</v>
      </c>
      <c r="E53" s="5" t="str">
        <f aca="false">IFERROR(INDEX('Code Tables'!$E$2:$E$40,MATCH(D53,'Code Tables'!$D$2:$D$40,0)),"?")</f>
        <v>Silver</v>
      </c>
      <c r="F53" s="7" t="s">
        <v>52</v>
      </c>
      <c r="G53" s="5" t="str">
        <f aca="false">IFERROR(INDEX('Code Tables'!$J$2:$J$20,MATCH(F53,'Code Tables'!$I$2:$I$20,0)),"?")</f>
        <v>One Size</v>
      </c>
      <c r="H53" s="2" t="s">
        <v>244</v>
      </c>
      <c r="I53" s="2" t="s">
        <v>245</v>
      </c>
      <c r="J53" s="2"/>
      <c r="K53" s="2" t="s">
        <v>31</v>
      </c>
      <c r="L53" s="2"/>
      <c r="M53" s="5" t="str">
        <f aca="false">IF(COUNTIF($A$2:$A$105,A53)&gt;1,"DUPLICATE",IF(ISNA(MATCH(B53,Styles!$A$2:$A$27,0)),"BAD STYLE",IF(ISNA(MATCH(D53,'Code Tables'!$D$2:$D$40,0)),"BAD COLOR",IF(ISNA(MATCH(F53,'Code Tables'!$I$2:$I$20,0)),"BAD SIZE","ok"))))</f>
        <v>ok</v>
      </c>
      <c r="N53" s="2" t="s">
        <v>246</v>
      </c>
      <c r="O53" s="5" t="n">
        <f aca="false">IF(COUNTIFS($B$2:B53,B53,$D$2:D53,D53)=1,1,0)</f>
        <v>1</v>
      </c>
    </row>
    <row r="54" customFormat="false" ht="15" hidden="false" customHeight="false" outlineLevel="0" collapsed="false">
      <c r="A54" s="5" t="str">
        <f aca="false">B54&amp;"-"&amp;D54&amp;"-"&amp;F54</f>
        <v>BG103-GLD-OS</v>
      </c>
      <c r="B54" s="2" t="s">
        <v>57</v>
      </c>
      <c r="C54" s="5" t="str">
        <f aca="false">IFERROR(INDEX(Styles!$B$2:$B$27,MATCH(B54,Styles!$A$2:$A$27,0)),"?")</f>
        <v>Bateau Bag</v>
      </c>
      <c r="D54" s="2" t="s">
        <v>247</v>
      </c>
      <c r="E54" s="5" t="str">
        <f aca="false">IFERROR(INDEX('Code Tables'!$E$2:$E$40,MATCH(D54,'Code Tables'!$D$2:$D$40,0)),"?")</f>
        <v>Gold</v>
      </c>
      <c r="F54" s="7" t="s">
        <v>52</v>
      </c>
      <c r="G54" s="5" t="str">
        <f aca="false">IFERROR(INDEX('Code Tables'!$J$2:$J$20,MATCH(F54,'Code Tables'!$I$2:$I$20,0)),"?")</f>
        <v>One Size</v>
      </c>
      <c r="H54" s="2" t="s">
        <v>244</v>
      </c>
      <c r="I54" s="2" t="s">
        <v>248</v>
      </c>
      <c r="J54" s="2"/>
      <c r="K54" s="2" t="s">
        <v>31</v>
      </c>
      <c r="L54" s="2"/>
      <c r="M54" s="5" t="str">
        <f aca="false">IF(COUNTIF($A$2:$A$105,A54)&gt;1,"DUPLICATE",IF(ISNA(MATCH(B54,Styles!$A$2:$A$27,0)),"BAD STYLE",IF(ISNA(MATCH(D54,'Code Tables'!$D$2:$D$40,0)),"BAD COLOR",IF(ISNA(MATCH(F54,'Code Tables'!$I$2:$I$20,0)),"BAD SIZE","ok"))))</f>
        <v>ok</v>
      </c>
      <c r="N54" s="2" t="s">
        <v>246</v>
      </c>
      <c r="O54" s="5" t="n">
        <f aca="false">IF(COUNTIFS($B$2:B54,B54,$D$2:D54,D54)=1,1,0)</f>
        <v>1</v>
      </c>
    </row>
    <row r="55" customFormat="false" ht="15" hidden="false" customHeight="false" outlineLevel="0" collapsed="false">
      <c r="A55" s="5" t="str">
        <f aca="false">B55&amp;"-"&amp;D55&amp;"-"&amp;F55</f>
        <v>BG103-MRS-OS</v>
      </c>
      <c r="B55" s="2" t="s">
        <v>57</v>
      </c>
      <c r="C55" s="5" t="str">
        <f aca="false">IFERROR(INDEX(Styles!$B$2:$B$27,MATCH(B55,Styles!$A$2:$A$27,0)),"?")</f>
        <v>Bateau Bag</v>
      </c>
      <c r="D55" s="2" t="s">
        <v>249</v>
      </c>
      <c r="E55" s="5" t="str">
        <f aca="false">IFERROR(INDEX('Code Tables'!$E$2:$E$40,MATCH(D55,'Code Tables'!$D$2:$D$40,0)),"?")</f>
        <v>Maraschino</v>
      </c>
      <c r="F55" s="7" t="s">
        <v>52</v>
      </c>
      <c r="G55" s="5" t="str">
        <f aca="false">IFERROR(INDEX('Code Tables'!$J$2:$J$20,MATCH(F55,'Code Tables'!$I$2:$I$20,0)),"?")</f>
        <v>One Size</v>
      </c>
      <c r="H55" s="2" t="s">
        <v>244</v>
      </c>
      <c r="I55" s="2" t="s">
        <v>250</v>
      </c>
      <c r="J55" s="2"/>
      <c r="K55" s="2" t="s">
        <v>31</v>
      </c>
      <c r="L55" s="2"/>
      <c r="M55" s="5" t="str">
        <f aca="false">IF(COUNTIF($A$2:$A$105,A55)&gt;1,"DUPLICATE",IF(ISNA(MATCH(B55,Styles!$A$2:$A$27,0)),"BAD STYLE",IF(ISNA(MATCH(D55,'Code Tables'!$D$2:$D$40,0)),"BAD COLOR",IF(ISNA(MATCH(F55,'Code Tables'!$I$2:$I$20,0)),"BAD SIZE","ok"))))</f>
        <v>ok</v>
      </c>
      <c r="N55" s="2" t="s">
        <v>246</v>
      </c>
      <c r="O55" s="5" t="n">
        <f aca="false">IF(COUNTIFS($B$2:B55,B55,$D$2:D55,D55)=1,1,0)</f>
        <v>1</v>
      </c>
    </row>
    <row r="56" customFormat="false" ht="15" hidden="false" customHeight="false" outlineLevel="0" collapsed="false">
      <c r="A56" s="5" t="str">
        <f aca="false">B56&amp;"-"&amp;D56&amp;"-"&amp;F56</f>
        <v>BG103-VRD-OS</v>
      </c>
      <c r="B56" s="2" t="s">
        <v>57</v>
      </c>
      <c r="C56" s="5" t="str">
        <f aca="false">IFERROR(INDEX(Styles!$B$2:$B$27,MATCH(B56,Styles!$A$2:$A$27,0)),"?")</f>
        <v>Bateau Bag</v>
      </c>
      <c r="D56" s="2" t="s">
        <v>251</v>
      </c>
      <c r="E56" s="5" t="str">
        <f aca="false">IFERROR(INDEX('Code Tables'!$E$2:$E$40,MATCH(D56,'Code Tables'!$D$2:$D$40,0)),"?")</f>
        <v>Verdant</v>
      </c>
      <c r="F56" s="7" t="s">
        <v>52</v>
      </c>
      <c r="G56" s="5" t="str">
        <f aca="false">IFERROR(INDEX('Code Tables'!$J$2:$J$20,MATCH(F56,'Code Tables'!$I$2:$I$20,0)),"?")</f>
        <v>One Size</v>
      </c>
      <c r="H56" s="2" t="s">
        <v>244</v>
      </c>
      <c r="I56" s="2" t="s">
        <v>252</v>
      </c>
      <c r="J56" s="2"/>
      <c r="K56" s="2" t="s">
        <v>31</v>
      </c>
      <c r="L56" s="2"/>
      <c r="M56" s="5" t="str">
        <f aca="false">IF(COUNTIF($A$2:$A$105,A56)&gt;1,"DUPLICATE",IF(ISNA(MATCH(B56,Styles!$A$2:$A$27,0)),"BAD STYLE",IF(ISNA(MATCH(D56,'Code Tables'!$D$2:$D$40,0)),"BAD COLOR",IF(ISNA(MATCH(F56,'Code Tables'!$I$2:$I$20,0)),"BAD SIZE","ok"))))</f>
        <v>ok</v>
      </c>
      <c r="N56" s="2" t="s">
        <v>246</v>
      </c>
      <c r="O56" s="5" t="n">
        <f aca="false">IF(COUNTIFS($B$2:B56,B56,$D$2:D56,D56)=1,1,0)</f>
        <v>1</v>
      </c>
    </row>
    <row r="57" customFormat="false" ht="15" hidden="false" customHeight="false" outlineLevel="0" collapsed="false">
      <c r="A57" s="5" t="str">
        <f aca="false">B57&amp;"-"&amp;D57&amp;"-"&amp;F57</f>
        <v>BG103-CSP-OS</v>
      </c>
      <c r="B57" s="2" t="s">
        <v>57</v>
      </c>
      <c r="C57" s="5" t="str">
        <f aca="false">IFERROR(INDEX(Styles!$B$2:$B$27,MATCH(B57,Styles!$A$2:$A$27,0)),"?")</f>
        <v>Bateau Bag</v>
      </c>
      <c r="D57" s="2" t="s">
        <v>253</v>
      </c>
      <c r="E57" s="5" t="str">
        <f aca="false">IFERROR(INDEX('Code Tables'!$E$2:$E$40,MATCH(D57,'Code Tables'!$D$2:$D$40,0)),"?")</f>
        <v>Caspian</v>
      </c>
      <c r="F57" s="7" t="s">
        <v>52</v>
      </c>
      <c r="G57" s="5" t="str">
        <f aca="false">IFERROR(INDEX('Code Tables'!$J$2:$J$20,MATCH(F57,'Code Tables'!$I$2:$I$20,0)),"?")</f>
        <v>One Size</v>
      </c>
      <c r="H57" s="2" t="s">
        <v>244</v>
      </c>
      <c r="I57" s="2" t="s">
        <v>254</v>
      </c>
      <c r="J57" s="2"/>
      <c r="K57" s="2" t="s">
        <v>31</v>
      </c>
      <c r="L57" s="2"/>
      <c r="M57" s="5" t="str">
        <f aca="false">IF(COUNTIF($A$2:$A$105,A57)&gt;1,"DUPLICATE",IF(ISNA(MATCH(B57,Styles!$A$2:$A$27,0)),"BAD STYLE",IF(ISNA(MATCH(D57,'Code Tables'!$D$2:$D$40,0)),"BAD COLOR",IF(ISNA(MATCH(F57,'Code Tables'!$I$2:$I$20,0)),"BAD SIZE","ok"))))</f>
        <v>ok</v>
      </c>
      <c r="N57" s="2" t="s">
        <v>246</v>
      </c>
      <c r="O57" s="5" t="n">
        <f aca="false">IF(COUNTIFS($B$2:B57,B57,$D$2:D57,D57)=1,1,0)</f>
        <v>1</v>
      </c>
    </row>
    <row r="58" customFormat="false" ht="15" hidden="false" customHeight="false" outlineLevel="0" collapsed="false">
      <c r="A58" s="5" t="str">
        <f aca="false">B58&amp;"-"&amp;D58&amp;"-"&amp;F58</f>
        <v>BG103-CHC-OS</v>
      </c>
      <c r="B58" s="2" t="s">
        <v>57</v>
      </c>
      <c r="C58" s="5" t="str">
        <f aca="false">IFERROR(INDEX(Styles!$B$2:$B$27,MATCH(B58,Styles!$A$2:$A$27,0)),"?")</f>
        <v>Bateau Bag</v>
      </c>
      <c r="D58" s="2" t="s">
        <v>222</v>
      </c>
      <c r="E58" s="5" t="str">
        <f aca="false">IFERROR(INDEX('Code Tables'!$E$2:$E$40,MATCH(D58,'Code Tables'!$D$2:$D$40,0)),"?")</f>
        <v>Chocolate</v>
      </c>
      <c r="F58" s="7" t="s">
        <v>52</v>
      </c>
      <c r="G58" s="5" t="str">
        <f aca="false">IFERROR(INDEX('Code Tables'!$J$2:$J$20,MATCH(F58,'Code Tables'!$I$2:$I$20,0)),"?")</f>
        <v>One Size</v>
      </c>
      <c r="H58" s="2" t="s">
        <v>244</v>
      </c>
      <c r="I58" s="2" t="s">
        <v>255</v>
      </c>
      <c r="J58" s="2"/>
      <c r="K58" s="2" t="s">
        <v>31</v>
      </c>
      <c r="L58" s="2"/>
      <c r="M58" s="5" t="str">
        <f aca="false">IF(COUNTIF($A$2:$A$105,A58)&gt;1,"DUPLICATE",IF(ISNA(MATCH(B58,Styles!$A$2:$A$27,0)),"BAD STYLE",IF(ISNA(MATCH(D58,'Code Tables'!$D$2:$D$40,0)),"BAD COLOR",IF(ISNA(MATCH(F58,'Code Tables'!$I$2:$I$20,0)),"BAD SIZE","ok"))))</f>
        <v>ok</v>
      </c>
      <c r="N58" s="2" t="s">
        <v>246</v>
      </c>
      <c r="O58" s="5" t="n">
        <f aca="false">IF(COUNTIFS($B$2:B58,B58,$D$2:D58,D58)=1,1,0)</f>
        <v>1</v>
      </c>
    </row>
    <row r="59" customFormat="false" ht="15" hidden="false" customHeight="false" outlineLevel="0" collapsed="false">
      <c r="A59" s="5" t="str">
        <f aca="false">B59&amp;"-"&amp;D59&amp;"-"&amp;F59</f>
        <v>BG104-GLD-OS</v>
      </c>
      <c r="B59" s="2" t="s">
        <v>60</v>
      </c>
      <c r="C59" s="5" t="str">
        <f aca="false">IFERROR(INDEX(Styles!$B$2:$B$27,MATCH(B59,Styles!$A$2:$A$27,0)),"?")</f>
        <v>Petite Bateau Bag</v>
      </c>
      <c r="D59" s="2" t="s">
        <v>247</v>
      </c>
      <c r="E59" s="5" t="str">
        <f aca="false">IFERROR(INDEX('Code Tables'!$E$2:$E$40,MATCH(D59,'Code Tables'!$D$2:$D$40,0)),"?")</f>
        <v>Gold</v>
      </c>
      <c r="F59" s="7" t="s">
        <v>52</v>
      </c>
      <c r="G59" s="5" t="str">
        <f aca="false">IFERROR(INDEX('Code Tables'!$J$2:$J$20,MATCH(F59,'Code Tables'!$I$2:$I$20,0)),"?")</f>
        <v>One Size</v>
      </c>
      <c r="H59" s="2" t="s">
        <v>256</v>
      </c>
      <c r="I59" s="2" t="s">
        <v>248</v>
      </c>
      <c r="J59" s="2"/>
      <c r="K59" s="2" t="s">
        <v>31</v>
      </c>
      <c r="L59" s="2"/>
      <c r="M59" s="5" t="str">
        <f aca="false">IF(COUNTIF($A$2:$A$105,A59)&gt;1,"DUPLICATE",IF(ISNA(MATCH(B59,Styles!$A$2:$A$27,0)),"BAD STYLE",IF(ISNA(MATCH(D59,'Code Tables'!$D$2:$D$40,0)),"BAD COLOR",IF(ISNA(MATCH(F59,'Code Tables'!$I$2:$I$20,0)),"BAD SIZE","ok"))))</f>
        <v>ok</v>
      </c>
      <c r="N59" s="2" t="s">
        <v>257</v>
      </c>
      <c r="O59" s="5" t="n">
        <f aca="false">IF(COUNTIFS($B$2:B59,B59,$D$2:D59,D59)=1,1,0)</f>
        <v>1</v>
      </c>
    </row>
    <row r="60" customFormat="false" ht="15" hidden="false" customHeight="false" outlineLevel="0" collapsed="false">
      <c r="A60" s="5" t="str">
        <f aca="false">B60&amp;"-"&amp;D60&amp;"-"&amp;F60</f>
        <v>BG104-SLV-OS</v>
      </c>
      <c r="B60" s="2" t="s">
        <v>60</v>
      </c>
      <c r="C60" s="5" t="str">
        <f aca="false">IFERROR(INDEX(Styles!$B$2:$B$27,MATCH(B60,Styles!$A$2:$A$27,0)),"?")</f>
        <v>Petite Bateau Bag</v>
      </c>
      <c r="D60" s="2" t="s">
        <v>229</v>
      </c>
      <c r="E60" s="5" t="str">
        <f aca="false">IFERROR(INDEX('Code Tables'!$E$2:$E$40,MATCH(D60,'Code Tables'!$D$2:$D$40,0)),"?")</f>
        <v>Silver</v>
      </c>
      <c r="F60" s="7" t="s">
        <v>52</v>
      </c>
      <c r="G60" s="5" t="str">
        <f aca="false">IFERROR(INDEX('Code Tables'!$J$2:$J$20,MATCH(F60,'Code Tables'!$I$2:$I$20,0)),"?")</f>
        <v>One Size</v>
      </c>
      <c r="H60" s="2" t="s">
        <v>256</v>
      </c>
      <c r="I60" s="2" t="s">
        <v>245</v>
      </c>
      <c r="J60" s="2"/>
      <c r="K60" s="2" t="s">
        <v>31</v>
      </c>
      <c r="L60" s="2"/>
      <c r="M60" s="5" t="str">
        <f aca="false">IF(COUNTIF($A$2:$A$105,A60)&gt;1,"DUPLICATE",IF(ISNA(MATCH(B60,Styles!$A$2:$A$27,0)),"BAD STYLE",IF(ISNA(MATCH(D60,'Code Tables'!$D$2:$D$40,0)),"BAD COLOR",IF(ISNA(MATCH(F60,'Code Tables'!$I$2:$I$20,0)),"BAD SIZE","ok"))))</f>
        <v>ok</v>
      </c>
      <c r="N60" s="2" t="s">
        <v>257</v>
      </c>
      <c r="O60" s="5" t="n">
        <f aca="false">IF(COUNTIFS($B$2:B60,B60,$D$2:D60,D60)=1,1,0)</f>
        <v>1</v>
      </c>
    </row>
    <row r="61" customFormat="false" ht="15" hidden="false" customHeight="false" outlineLevel="0" collapsed="false">
      <c r="A61" s="5" t="str">
        <f aca="false">B61&amp;"-"&amp;D61&amp;"-"&amp;F61</f>
        <v>BG104-MRS-OS</v>
      </c>
      <c r="B61" s="2" t="s">
        <v>60</v>
      </c>
      <c r="C61" s="5" t="str">
        <f aca="false">IFERROR(INDEX(Styles!$B$2:$B$27,MATCH(B61,Styles!$A$2:$A$27,0)),"?")</f>
        <v>Petite Bateau Bag</v>
      </c>
      <c r="D61" s="2" t="s">
        <v>249</v>
      </c>
      <c r="E61" s="5" t="str">
        <f aca="false">IFERROR(INDEX('Code Tables'!$E$2:$E$40,MATCH(D61,'Code Tables'!$D$2:$D$40,0)),"?")</f>
        <v>Maraschino</v>
      </c>
      <c r="F61" s="7" t="s">
        <v>52</v>
      </c>
      <c r="G61" s="5" t="str">
        <f aca="false">IFERROR(INDEX('Code Tables'!$J$2:$J$20,MATCH(F61,'Code Tables'!$I$2:$I$20,0)),"?")</f>
        <v>One Size</v>
      </c>
      <c r="H61" s="2" t="s">
        <v>256</v>
      </c>
      <c r="I61" s="2" t="s">
        <v>250</v>
      </c>
      <c r="J61" s="2"/>
      <c r="K61" s="2" t="s">
        <v>31</v>
      </c>
      <c r="L61" s="2"/>
      <c r="M61" s="5" t="str">
        <f aca="false">IF(COUNTIF($A$2:$A$105,A61)&gt;1,"DUPLICATE",IF(ISNA(MATCH(B61,Styles!$A$2:$A$27,0)),"BAD STYLE",IF(ISNA(MATCH(D61,'Code Tables'!$D$2:$D$40,0)),"BAD COLOR",IF(ISNA(MATCH(F61,'Code Tables'!$I$2:$I$20,0)),"BAD SIZE","ok"))))</f>
        <v>ok</v>
      </c>
      <c r="N61" s="2" t="s">
        <v>257</v>
      </c>
      <c r="O61" s="5" t="n">
        <f aca="false">IF(COUNTIFS($B$2:B61,B61,$D$2:D61,D61)=1,1,0)</f>
        <v>1</v>
      </c>
    </row>
    <row r="62" customFormat="false" ht="15" hidden="false" customHeight="false" outlineLevel="0" collapsed="false">
      <c r="A62" s="5" t="str">
        <f aca="false">B62&amp;"-"&amp;D62&amp;"-"&amp;F62</f>
        <v>BG104-VRD-OS</v>
      </c>
      <c r="B62" s="2" t="s">
        <v>60</v>
      </c>
      <c r="C62" s="5" t="str">
        <f aca="false">IFERROR(INDEX(Styles!$B$2:$B$27,MATCH(B62,Styles!$A$2:$A$27,0)),"?")</f>
        <v>Petite Bateau Bag</v>
      </c>
      <c r="D62" s="2" t="s">
        <v>251</v>
      </c>
      <c r="E62" s="5" t="str">
        <f aca="false">IFERROR(INDEX('Code Tables'!$E$2:$E$40,MATCH(D62,'Code Tables'!$D$2:$D$40,0)),"?")</f>
        <v>Verdant</v>
      </c>
      <c r="F62" s="7" t="s">
        <v>52</v>
      </c>
      <c r="G62" s="5" t="str">
        <f aca="false">IFERROR(INDEX('Code Tables'!$J$2:$J$20,MATCH(F62,'Code Tables'!$I$2:$I$20,0)),"?")</f>
        <v>One Size</v>
      </c>
      <c r="H62" s="2" t="s">
        <v>256</v>
      </c>
      <c r="I62" s="2" t="s">
        <v>252</v>
      </c>
      <c r="J62" s="2"/>
      <c r="K62" s="2" t="s">
        <v>31</v>
      </c>
      <c r="L62" s="2"/>
      <c r="M62" s="5" t="str">
        <f aca="false">IF(COUNTIF($A$2:$A$105,A62)&gt;1,"DUPLICATE",IF(ISNA(MATCH(B62,Styles!$A$2:$A$27,0)),"BAD STYLE",IF(ISNA(MATCH(D62,'Code Tables'!$D$2:$D$40,0)),"BAD COLOR",IF(ISNA(MATCH(F62,'Code Tables'!$I$2:$I$20,0)),"BAD SIZE","ok"))))</f>
        <v>ok</v>
      </c>
      <c r="N62" s="2" t="s">
        <v>257</v>
      </c>
      <c r="O62" s="5" t="n">
        <f aca="false">IF(COUNTIFS($B$2:B62,B62,$D$2:D62,D62)=1,1,0)</f>
        <v>1</v>
      </c>
    </row>
    <row r="63" customFormat="false" ht="15" hidden="false" customHeight="false" outlineLevel="0" collapsed="false">
      <c r="A63" s="5" t="str">
        <f aca="false">B63&amp;"-"&amp;D63&amp;"-"&amp;F63</f>
        <v>BG104-CSP-OS</v>
      </c>
      <c r="B63" s="2" t="s">
        <v>60</v>
      </c>
      <c r="C63" s="5" t="str">
        <f aca="false">IFERROR(INDEX(Styles!$B$2:$B$27,MATCH(B63,Styles!$A$2:$A$27,0)),"?")</f>
        <v>Petite Bateau Bag</v>
      </c>
      <c r="D63" s="2" t="s">
        <v>253</v>
      </c>
      <c r="E63" s="5" t="str">
        <f aca="false">IFERROR(INDEX('Code Tables'!$E$2:$E$40,MATCH(D63,'Code Tables'!$D$2:$D$40,0)),"?")</f>
        <v>Caspian</v>
      </c>
      <c r="F63" s="7" t="s">
        <v>52</v>
      </c>
      <c r="G63" s="5" t="str">
        <f aca="false">IFERROR(INDEX('Code Tables'!$J$2:$J$20,MATCH(F63,'Code Tables'!$I$2:$I$20,0)),"?")</f>
        <v>One Size</v>
      </c>
      <c r="H63" s="2" t="s">
        <v>256</v>
      </c>
      <c r="I63" s="2" t="s">
        <v>254</v>
      </c>
      <c r="J63" s="2"/>
      <c r="K63" s="2" t="s">
        <v>31</v>
      </c>
      <c r="L63" s="2"/>
      <c r="M63" s="5" t="str">
        <f aca="false">IF(COUNTIF($A$2:$A$105,A63)&gt;1,"DUPLICATE",IF(ISNA(MATCH(B63,Styles!$A$2:$A$27,0)),"BAD STYLE",IF(ISNA(MATCH(D63,'Code Tables'!$D$2:$D$40,0)),"BAD COLOR",IF(ISNA(MATCH(F63,'Code Tables'!$I$2:$I$20,0)),"BAD SIZE","ok"))))</f>
        <v>ok</v>
      </c>
      <c r="N63" s="2" t="s">
        <v>257</v>
      </c>
      <c r="O63" s="5" t="n">
        <f aca="false">IF(COUNTIFS($B$2:B63,B63,$D$2:D63,D63)=1,1,0)</f>
        <v>1</v>
      </c>
    </row>
    <row r="64" customFormat="false" ht="15" hidden="false" customHeight="false" outlineLevel="0" collapsed="false">
      <c r="A64" s="5" t="str">
        <f aca="false">B64&amp;"-"&amp;D64&amp;"-"&amp;F64</f>
        <v>BG104-CHC-OS</v>
      </c>
      <c r="B64" s="2" t="s">
        <v>60</v>
      </c>
      <c r="C64" s="5" t="str">
        <f aca="false">IFERROR(INDEX(Styles!$B$2:$B$27,MATCH(B64,Styles!$A$2:$A$27,0)),"?")</f>
        <v>Petite Bateau Bag</v>
      </c>
      <c r="D64" s="2" t="s">
        <v>222</v>
      </c>
      <c r="E64" s="5" t="str">
        <f aca="false">IFERROR(INDEX('Code Tables'!$E$2:$E$40,MATCH(D64,'Code Tables'!$D$2:$D$40,0)),"?")</f>
        <v>Chocolate</v>
      </c>
      <c r="F64" s="7" t="s">
        <v>52</v>
      </c>
      <c r="G64" s="5" t="str">
        <f aca="false">IFERROR(INDEX('Code Tables'!$J$2:$J$20,MATCH(F64,'Code Tables'!$I$2:$I$20,0)),"?")</f>
        <v>One Size</v>
      </c>
      <c r="H64" s="2" t="s">
        <v>256</v>
      </c>
      <c r="I64" s="2" t="s">
        <v>255</v>
      </c>
      <c r="J64" s="2"/>
      <c r="K64" s="2" t="s">
        <v>31</v>
      </c>
      <c r="L64" s="2"/>
      <c r="M64" s="5" t="str">
        <f aca="false">IF(COUNTIF($A$2:$A$105,A64)&gt;1,"DUPLICATE",IF(ISNA(MATCH(B64,Styles!$A$2:$A$27,0)),"BAD STYLE",IF(ISNA(MATCH(D64,'Code Tables'!$D$2:$D$40,0)),"BAD COLOR",IF(ISNA(MATCH(F64,'Code Tables'!$I$2:$I$20,0)),"BAD SIZE","ok"))))</f>
        <v>ok</v>
      </c>
      <c r="N64" s="2" t="s">
        <v>257</v>
      </c>
      <c r="O64" s="5" t="n">
        <f aca="false">IF(COUNTIFS($B$2:B64,B64,$D$2:D64,D64)=1,1,0)</f>
        <v>1</v>
      </c>
    </row>
    <row r="65" customFormat="false" ht="15" hidden="false" customHeight="false" outlineLevel="0" collapsed="false">
      <c r="A65" s="5" t="str">
        <f aca="false">B65&amp;"-"&amp;D65&amp;"-"&amp;F65</f>
        <v>BG105-CHP-PT</v>
      </c>
      <c r="B65" s="2" t="s">
        <v>63</v>
      </c>
      <c r="C65" s="5" t="str">
        <f aca="false">IFERROR(INDEX(Styles!$B$2:$B$27,MATCH(B65,Styles!$A$2:$A$27,0)),"?")</f>
        <v>Bean Bag</v>
      </c>
      <c r="D65" s="2" t="s">
        <v>258</v>
      </c>
      <c r="E65" s="5" t="str">
        <f aca="false">IFERROR(INDEX('Code Tables'!$E$2:$E$40,MATCH(D65,'Code Tables'!$D$2:$D$40,0)),"?")</f>
        <v>Champagne</v>
      </c>
      <c r="F65" s="7" t="s">
        <v>259</v>
      </c>
      <c r="G65" s="5" t="str">
        <f aca="false">IFERROR(INDEX('Code Tables'!$J$2:$J$20,MATCH(F65,'Code Tables'!$I$2:$I$20,0)),"?")</f>
        <v>Petite</v>
      </c>
      <c r="H65" s="2" t="s">
        <v>260</v>
      </c>
      <c r="I65" s="2" t="s">
        <v>261</v>
      </c>
      <c r="J65" s="2"/>
      <c r="K65" s="2" t="s">
        <v>31</v>
      </c>
      <c r="L65" s="2"/>
      <c r="M65" s="5" t="str">
        <f aca="false">IF(COUNTIF($A$2:$A$105,A65)&gt;1,"DUPLICATE",IF(ISNA(MATCH(B65,Styles!$A$2:$A$27,0)),"BAD STYLE",IF(ISNA(MATCH(D65,'Code Tables'!$D$2:$D$40,0)),"BAD COLOR",IF(ISNA(MATCH(F65,'Code Tables'!$I$2:$I$20,0)),"BAD SIZE","ok"))))</f>
        <v>ok</v>
      </c>
      <c r="N65" s="2"/>
      <c r="O65" s="5" t="n">
        <f aca="false">IF(COUNTIFS($B$2:B65,B65,$D$2:D65,D65)=1,1,0)</f>
        <v>1</v>
      </c>
    </row>
    <row r="66" customFormat="false" ht="15" hidden="false" customHeight="false" outlineLevel="0" collapsed="false">
      <c r="A66" s="5" t="str">
        <f aca="false">B66&amp;"-"&amp;D66&amp;"-"&amp;F66</f>
        <v>BG105-BLK-PT</v>
      </c>
      <c r="B66" s="2" t="s">
        <v>63</v>
      </c>
      <c r="C66" s="5" t="str">
        <f aca="false">IFERROR(INDEX(Styles!$B$2:$B$27,MATCH(B66,Styles!$A$2:$A$27,0)),"?")</f>
        <v>Bean Bag</v>
      </c>
      <c r="D66" s="2" t="s">
        <v>126</v>
      </c>
      <c r="E66" s="5" t="str">
        <f aca="false">IFERROR(INDEX('Code Tables'!$E$2:$E$40,MATCH(D66,'Code Tables'!$D$2:$D$40,0)),"?")</f>
        <v>Black</v>
      </c>
      <c r="F66" s="7" t="s">
        <v>259</v>
      </c>
      <c r="G66" s="5" t="str">
        <f aca="false">IFERROR(INDEX('Code Tables'!$J$2:$J$20,MATCH(F66,'Code Tables'!$I$2:$I$20,0)),"?")</f>
        <v>Petite</v>
      </c>
      <c r="H66" s="2" t="s">
        <v>260</v>
      </c>
      <c r="I66" s="2" t="s">
        <v>262</v>
      </c>
      <c r="J66" s="2"/>
      <c r="K66" s="2" t="s">
        <v>31</v>
      </c>
      <c r="L66" s="2"/>
      <c r="M66" s="5" t="str">
        <f aca="false">IF(COUNTIF($A$2:$A$105,A66)&gt;1,"DUPLICATE",IF(ISNA(MATCH(B66,Styles!$A$2:$A$27,0)),"BAD STYLE",IF(ISNA(MATCH(D66,'Code Tables'!$D$2:$D$40,0)),"BAD COLOR",IF(ISNA(MATCH(F66,'Code Tables'!$I$2:$I$20,0)),"BAD SIZE","ok"))))</f>
        <v>ok</v>
      </c>
      <c r="N66" s="2"/>
      <c r="O66" s="5" t="n">
        <f aca="false">IF(COUNTIFS($B$2:B66,B66,$D$2:D66,D66)=1,1,0)</f>
        <v>1</v>
      </c>
    </row>
    <row r="67" customFormat="false" ht="15" hidden="false" customHeight="false" outlineLevel="0" collapsed="false">
      <c r="A67" s="5" t="str">
        <f aca="false">B67&amp;"-"&amp;D67&amp;"-"&amp;F67</f>
        <v>BG105-SLV-MD</v>
      </c>
      <c r="B67" s="2" t="s">
        <v>63</v>
      </c>
      <c r="C67" s="5" t="str">
        <f aca="false">IFERROR(INDEX(Styles!$B$2:$B$27,MATCH(B67,Styles!$A$2:$A$27,0)),"?")</f>
        <v>Bean Bag</v>
      </c>
      <c r="D67" s="2" t="s">
        <v>229</v>
      </c>
      <c r="E67" s="5" t="str">
        <f aca="false">IFERROR(INDEX('Code Tables'!$E$2:$E$40,MATCH(D67,'Code Tables'!$D$2:$D$40,0)),"?")</f>
        <v>Silver</v>
      </c>
      <c r="F67" s="7" t="s">
        <v>263</v>
      </c>
      <c r="G67" s="5" t="str">
        <f aca="false">IFERROR(INDEX('Code Tables'!$J$2:$J$20,MATCH(F67,'Code Tables'!$I$2:$I$20,0)),"?")</f>
        <v>Medium</v>
      </c>
      <c r="H67" s="2" t="s">
        <v>260</v>
      </c>
      <c r="I67" s="2" t="s">
        <v>264</v>
      </c>
      <c r="J67" s="2"/>
      <c r="K67" s="2" t="s">
        <v>31</v>
      </c>
      <c r="L67" s="2"/>
      <c r="M67" s="5" t="str">
        <f aca="false">IF(COUNTIF($A$2:$A$105,A67)&gt;1,"DUPLICATE",IF(ISNA(MATCH(B67,Styles!$A$2:$A$27,0)),"BAD STYLE",IF(ISNA(MATCH(D67,'Code Tables'!$D$2:$D$40,0)),"BAD COLOR",IF(ISNA(MATCH(F67,'Code Tables'!$I$2:$I$20,0)),"BAD SIZE","ok"))))</f>
        <v>ok</v>
      </c>
      <c r="N67" s="2"/>
      <c r="O67" s="5" t="n">
        <f aca="false">IF(COUNTIFS($B$2:B67,B67,$D$2:D67,D67)=1,1,0)</f>
        <v>1</v>
      </c>
    </row>
    <row r="68" customFormat="false" ht="15" hidden="false" customHeight="false" outlineLevel="0" collapsed="false">
      <c r="A68" s="5" t="str">
        <f aca="false">B68&amp;"-"&amp;D68&amp;"-"&amp;F68</f>
        <v>BG106-FLG-OS</v>
      </c>
      <c r="B68" s="2" t="s">
        <v>67</v>
      </c>
      <c r="C68" s="5" t="str">
        <f aca="false">IFERROR(INDEX(Styles!$B$2:$B$27,MATCH(B68,Styles!$A$2:$A$27,0)),"?")</f>
        <v>Cachet</v>
      </c>
      <c r="D68" s="2" t="s">
        <v>265</v>
      </c>
      <c r="E68" s="5" t="str">
        <f aca="false">IFERROR(INDEX('Code Tables'!$E$2:$E$40,MATCH(D68,'Code Tables'!$D$2:$D$40,0)),"?")</f>
        <v>Floral / Gold</v>
      </c>
      <c r="F68" s="7" t="s">
        <v>52</v>
      </c>
      <c r="G68" s="5" t="str">
        <f aca="false">IFERROR(INDEX('Code Tables'!$J$2:$J$20,MATCH(F68,'Code Tables'!$I$2:$I$20,0)),"?")</f>
        <v>One Size</v>
      </c>
      <c r="H68" s="2" t="s">
        <v>266</v>
      </c>
      <c r="I68" s="2" t="s">
        <v>224</v>
      </c>
      <c r="J68" s="2"/>
      <c r="K68" s="2" t="s">
        <v>31</v>
      </c>
      <c r="L68" s="2"/>
      <c r="M68" s="5" t="str">
        <f aca="false">IF(COUNTIF($A$2:$A$105,A68)&gt;1,"DUPLICATE",IF(ISNA(MATCH(B68,Styles!$A$2:$A$27,0)),"BAD STYLE",IF(ISNA(MATCH(D68,'Code Tables'!$D$2:$D$40,0)),"BAD COLOR",IF(ISNA(MATCH(F68,'Code Tables'!$I$2:$I$20,0)),"BAD SIZE","ok"))))</f>
        <v>ok</v>
      </c>
      <c r="N68" s="2"/>
      <c r="O68" s="5" t="n">
        <f aca="false">IF(COUNTIFS($B$2:B68,B68,$D$2:D68,D68)=1,1,0)</f>
        <v>1</v>
      </c>
    </row>
    <row r="69" customFormat="false" ht="15" hidden="false" customHeight="false" outlineLevel="0" collapsed="false">
      <c r="A69" s="5" t="str">
        <f aca="false">B69&amp;"-"&amp;D69&amp;"-"&amp;F69</f>
        <v>AC101-DCH-XS</v>
      </c>
      <c r="B69" s="2" t="s">
        <v>70</v>
      </c>
      <c r="C69" s="5" t="str">
        <f aca="false">IFERROR(INDEX(Styles!$B$2:$B$27,MATCH(B69,Styles!$A$2:$A$27,0)),"?")</f>
        <v>Boy Belt</v>
      </c>
      <c r="D69" s="2" t="s">
        <v>267</v>
      </c>
      <c r="E69" s="5" t="str">
        <f aca="false">IFERROR(INDEX('Code Tables'!$E$2:$E$40,MATCH(D69,'Code Tables'!$D$2:$D$40,0)),"?")</f>
        <v>Dark Chocolate</v>
      </c>
      <c r="F69" s="7" t="s">
        <v>268</v>
      </c>
      <c r="G69" s="5" t="str">
        <f aca="false">IFERROR(INDEX('Code Tables'!$J$2:$J$20,MATCH(F69,'Code Tables'!$I$2:$I$20,0)),"?")</f>
        <v>Extra Small</v>
      </c>
      <c r="H69" s="2" t="s">
        <v>269</v>
      </c>
      <c r="I69" s="2" t="s">
        <v>270</v>
      </c>
      <c r="J69" s="2"/>
      <c r="K69" s="2" t="s">
        <v>31</v>
      </c>
      <c r="L69" s="2"/>
      <c r="M69" s="5" t="str">
        <f aca="false">IF(COUNTIF($A$2:$A$105,A69)&gt;1,"DUPLICATE",IF(ISNA(MATCH(B69,Styles!$A$2:$A$27,0)),"BAD STYLE",IF(ISNA(MATCH(D69,'Code Tables'!$D$2:$D$40,0)),"BAD COLOR",IF(ISNA(MATCH(F69,'Code Tables'!$I$2:$I$20,0)),"BAD SIZE","ok"))))</f>
        <v>ok</v>
      </c>
      <c r="N69" s="2"/>
      <c r="O69" s="5" t="n">
        <f aca="false">IF(COUNTIFS($B$2:B69,B69,$D$2:D69,D69)=1,1,0)</f>
        <v>1</v>
      </c>
    </row>
    <row r="70" customFormat="false" ht="15" hidden="false" customHeight="false" outlineLevel="0" collapsed="false">
      <c r="A70" s="5" t="str">
        <f aca="false">B70&amp;"-"&amp;D70&amp;"-"&amp;F70</f>
        <v>AC101-DCH-SM</v>
      </c>
      <c r="B70" s="2" t="s">
        <v>70</v>
      </c>
      <c r="C70" s="5" t="str">
        <f aca="false">IFERROR(INDEX(Styles!$B$2:$B$27,MATCH(B70,Styles!$A$2:$A$27,0)),"?")</f>
        <v>Boy Belt</v>
      </c>
      <c r="D70" s="2" t="s">
        <v>267</v>
      </c>
      <c r="E70" s="5" t="str">
        <f aca="false">IFERROR(INDEX('Code Tables'!$E$2:$E$40,MATCH(D70,'Code Tables'!$D$2:$D$40,0)),"?")</f>
        <v>Dark Chocolate</v>
      </c>
      <c r="F70" s="7" t="s">
        <v>271</v>
      </c>
      <c r="G70" s="5" t="str">
        <f aca="false">IFERROR(INDEX('Code Tables'!$J$2:$J$20,MATCH(F70,'Code Tables'!$I$2:$I$20,0)),"?")</f>
        <v>Small</v>
      </c>
      <c r="H70" s="2" t="s">
        <v>269</v>
      </c>
      <c r="I70" s="2" t="s">
        <v>272</v>
      </c>
      <c r="J70" s="2"/>
      <c r="K70" s="2" t="s">
        <v>31</v>
      </c>
      <c r="L70" s="2"/>
      <c r="M70" s="5" t="str">
        <f aca="false">IF(COUNTIF($A$2:$A$105,A70)&gt;1,"DUPLICATE",IF(ISNA(MATCH(B70,Styles!$A$2:$A$27,0)),"BAD STYLE",IF(ISNA(MATCH(D70,'Code Tables'!$D$2:$D$40,0)),"BAD COLOR",IF(ISNA(MATCH(F70,'Code Tables'!$I$2:$I$20,0)),"BAD SIZE","ok"))))</f>
        <v>ok</v>
      </c>
      <c r="N70" s="2"/>
      <c r="O70" s="5" t="n">
        <f aca="false">IF(COUNTIFS($B$2:B70,B70,$D$2:D70,D70)=1,1,0)</f>
        <v>0</v>
      </c>
    </row>
    <row r="71" customFormat="false" ht="15" hidden="false" customHeight="false" outlineLevel="0" collapsed="false">
      <c r="A71" s="5" t="str">
        <f aca="false">B71&amp;"-"&amp;D71&amp;"-"&amp;F71</f>
        <v>AC101-DCH-MD</v>
      </c>
      <c r="B71" s="2" t="s">
        <v>70</v>
      </c>
      <c r="C71" s="5" t="str">
        <f aca="false">IFERROR(INDEX(Styles!$B$2:$B$27,MATCH(B71,Styles!$A$2:$A$27,0)),"?")</f>
        <v>Boy Belt</v>
      </c>
      <c r="D71" s="2" t="s">
        <v>267</v>
      </c>
      <c r="E71" s="5" t="str">
        <f aca="false">IFERROR(INDEX('Code Tables'!$E$2:$E$40,MATCH(D71,'Code Tables'!$D$2:$D$40,0)),"?")</f>
        <v>Dark Chocolate</v>
      </c>
      <c r="F71" s="7" t="s">
        <v>263</v>
      </c>
      <c r="G71" s="5" t="str">
        <f aca="false">IFERROR(INDEX('Code Tables'!$J$2:$J$20,MATCH(F71,'Code Tables'!$I$2:$I$20,0)),"?")</f>
        <v>Medium</v>
      </c>
      <c r="H71" s="2" t="s">
        <v>269</v>
      </c>
      <c r="I71" s="2" t="s">
        <v>273</v>
      </c>
      <c r="J71" s="2"/>
      <c r="K71" s="2" t="s">
        <v>31</v>
      </c>
      <c r="L71" s="2"/>
      <c r="M71" s="5" t="str">
        <f aca="false">IF(COUNTIF($A$2:$A$105,A71)&gt;1,"DUPLICATE",IF(ISNA(MATCH(B71,Styles!$A$2:$A$27,0)),"BAD STYLE",IF(ISNA(MATCH(D71,'Code Tables'!$D$2:$D$40,0)),"BAD COLOR",IF(ISNA(MATCH(F71,'Code Tables'!$I$2:$I$20,0)),"BAD SIZE","ok"))))</f>
        <v>ok</v>
      </c>
      <c r="N71" s="2"/>
      <c r="O71" s="5" t="n">
        <f aca="false">IF(COUNTIFS($B$2:B71,B71,$D$2:D71,D71)=1,1,0)</f>
        <v>0</v>
      </c>
    </row>
    <row r="72" customFormat="false" ht="15" hidden="false" customHeight="false" outlineLevel="0" collapsed="false">
      <c r="A72" s="5" t="str">
        <f aca="false">B72&amp;"-"&amp;D72&amp;"-"&amp;F72</f>
        <v>AC101-DCH-LG</v>
      </c>
      <c r="B72" s="2" t="s">
        <v>70</v>
      </c>
      <c r="C72" s="5" t="str">
        <f aca="false">IFERROR(INDEX(Styles!$B$2:$B$27,MATCH(B72,Styles!$A$2:$A$27,0)),"?")</f>
        <v>Boy Belt</v>
      </c>
      <c r="D72" s="2" t="s">
        <v>267</v>
      </c>
      <c r="E72" s="5" t="str">
        <f aca="false">IFERROR(INDEX('Code Tables'!$E$2:$E$40,MATCH(D72,'Code Tables'!$D$2:$D$40,0)),"?")</f>
        <v>Dark Chocolate</v>
      </c>
      <c r="F72" s="7" t="s">
        <v>274</v>
      </c>
      <c r="G72" s="5" t="str">
        <f aca="false">IFERROR(INDEX('Code Tables'!$J$2:$J$20,MATCH(F72,'Code Tables'!$I$2:$I$20,0)),"?")</f>
        <v>Large</v>
      </c>
      <c r="H72" s="2" t="s">
        <v>269</v>
      </c>
      <c r="I72" s="2" t="s">
        <v>275</v>
      </c>
      <c r="J72" s="2"/>
      <c r="K72" s="2" t="s">
        <v>31</v>
      </c>
      <c r="L72" s="2"/>
      <c r="M72" s="5" t="str">
        <f aca="false">IF(COUNTIF($A$2:$A$105,A72)&gt;1,"DUPLICATE",IF(ISNA(MATCH(B72,Styles!$A$2:$A$27,0)),"BAD STYLE",IF(ISNA(MATCH(D72,'Code Tables'!$D$2:$D$40,0)),"BAD COLOR",IF(ISNA(MATCH(F72,'Code Tables'!$I$2:$I$20,0)),"BAD SIZE","ok"))))</f>
        <v>ok</v>
      </c>
      <c r="N72" s="2"/>
      <c r="O72" s="5" t="n">
        <f aca="false">IF(COUNTIFS($B$2:B72,B72,$D$2:D72,D72)=1,1,0)</f>
        <v>0</v>
      </c>
    </row>
    <row r="73" customFormat="false" ht="15" hidden="false" customHeight="false" outlineLevel="0" collapsed="false">
      <c r="A73" s="5" t="str">
        <f aca="false">B73&amp;"-"&amp;D73&amp;"-"&amp;F73</f>
        <v>AC102-SLV-OS</v>
      </c>
      <c r="B73" s="2" t="s">
        <v>74</v>
      </c>
      <c r="C73" s="5" t="str">
        <f aca="false">IFERROR(INDEX(Styles!$B$2:$B$27,MATCH(B73,Styles!$A$2:$A$27,0)),"?")</f>
        <v>Bateau Handle</v>
      </c>
      <c r="D73" s="2" t="s">
        <v>229</v>
      </c>
      <c r="E73" s="5" t="str">
        <f aca="false">IFERROR(INDEX('Code Tables'!$E$2:$E$40,MATCH(D73,'Code Tables'!$D$2:$D$40,0)),"?")</f>
        <v>Silver</v>
      </c>
      <c r="F73" s="7" t="s">
        <v>52</v>
      </c>
      <c r="G73" s="5" t="str">
        <f aca="false">IFERROR(INDEX('Code Tables'!$J$2:$J$20,MATCH(F73,'Code Tables'!$I$2:$I$20,0)),"?")</f>
        <v>One Size</v>
      </c>
      <c r="H73" s="2" t="s">
        <v>276</v>
      </c>
      <c r="I73" s="2" t="s">
        <v>245</v>
      </c>
      <c r="J73" s="2"/>
      <c r="K73" s="2" t="s">
        <v>31</v>
      </c>
      <c r="L73" s="2"/>
      <c r="M73" s="5" t="str">
        <f aca="false">IF(COUNTIF($A$2:$A$105,A73)&gt;1,"DUPLICATE",IF(ISNA(MATCH(B73,Styles!$A$2:$A$27,0)),"BAD STYLE",IF(ISNA(MATCH(D73,'Code Tables'!$D$2:$D$40,0)),"BAD COLOR",IF(ISNA(MATCH(F73,'Code Tables'!$I$2:$I$20,0)),"BAD SIZE","ok"))))</f>
        <v>ok</v>
      </c>
      <c r="N73" s="2"/>
      <c r="O73" s="5" t="n">
        <f aca="false">IF(COUNTIFS($B$2:B73,B73,$D$2:D73,D73)=1,1,0)</f>
        <v>1</v>
      </c>
    </row>
    <row r="74" customFormat="false" ht="15" hidden="false" customHeight="false" outlineLevel="0" collapsed="false">
      <c r="A74" s="5" t="str">
        <f aca="false">B74&amp;"-"&amp;D74&amp;"-"&amp;F74</f>
        <v>AC102-GLD-OS</v>
      </c>
      <c r="B74" s="2" t="s">
        <v>74</v>
      </c>
      <c r="C74" s="5" t="str">
        <f aca="false">IFERROR(INDEX(Styles!$B$2:$B$27,MATCH(B74,Styles!$A$2:$A$27,0)),"?")</f>
        <v>Bateau Handle</v>
      </c>
      <c r="D74" s="2" t="s">
        <v>247</v>
      </c>
      <c r="E74" s="5" t="str">
        <f aca="false">IFERROR(INDEX('Code Tables'!$E$2:$E$40,MATCH(D74,'Code Tables'!$D$2:$D$40,0)),"?")</f>
        <v>Gold</v>
      </c>
      <c r="F74" s="7" t="s">
        <v>52</v>
      </c>
      <c r="G74" s="5" t="str">
        <f aca="false">IFERROR(INDEX('Code Tables'!$J$2:$J$20,MATCH(F74,'Code Tables'!$I$2:$I$20,0)),"?")</f>
        <v>One Size</v>
      </c>
      <c r="H74" s="2" t="s">
        <v>276</v>
      </c>
      <c r="I74" s="2" t="s">
        <v>248</v>
      </c>
      <c r="J74" s="2"/>
      <c r="K74" s="2" t="s">
        <v>31</v>
      </c>
      <c r="L74" s="2"/>
      <c r="M74" s="5" t="str">
        <f aca="false">IF(COUNTIF($A$2:$A$105,A74)&gt;1,"DUPLICATE",IF(ISNA(MATCH(B74,Styles!$A$2:$A$27,0)),"BAD STYLE",IF(ISNA(MATCH(D74,'Code Tables'!$D$2:$D$40,0)),"BAD COLOR",IF(ISNA(MATCH(F74,'Code Tables'!$I$2:$I$20,0)),"BAD SIZE","ok"))))</f>
        <v>ok</v>
      </c>
      <c r="N74" s="2"/>
      <c r="O74" s="5" t="n">
        <f aca="false">IF(COUNTIFS($B$2:B74,B74,$D$2:D74,D74)=1,1,0)</f>
        <v>1</v>
      </c>
    </row>
    <row r="75" customFormat="false" ht="15" hidden="false" customHeight="false" outlineLevel="0" collapsed="false">
      <c r="A75" s="5" t="str">
        <f aca="false">B75&amp;"-"&amp;D75&amp;"-"&amp;F75</f>
        <v>AC102-MRS-OS</v>
      </c>
      <c r="B75" s="2" t="s">
        <v>74</v>
      </c>
      <c r="C75" s="5" t="str">
        <f aca="false">IFERROR(INDEX(Styles!$B$2:$B$27,MATCH(B75,Styles!$A$2:$A$27,0)),"?")</f>
        <v>Bateau Handle</v>
      </c>
      <c r="D75" s="2" t="s">
        <v>249</v>
      </c>
      <c r="E75" s="5" t="str">
        <f aca="false">IFERROR(INDEX('Code Tables'!$E$2:$E$40,MATCH(D75,'Code Tables'!$D$2:$D$40,0)),"?")</f>
        <v>Maraschino</v>
      </c>
      <c r="F75" s="7" t="s">
        <v>52</v>
      </c>
      <c r="G75" s="5" t="str">
        <f aca="false">IFERROR(INDEX('Code Tables'!$J$2:$J$20,MATCH(F75,'Code Tables'!$I$2:$I$20,0)),"?")</f>
        <v>One Size</v>
      </c>
      <c r="H75" s="2" t="s">
        <v>276</v>
      </c>
      <c r="I75" s="2" t="s">
        <v>250</v>
      </c>
      <c r="J75" s="2"/>
      <c r="K75" s="2" t="s">
        <v>31</v>
      </c>
      <c r="L75" s="2"/>
      <c r="M75" s="5" t="str">
        <f aca="false">IF(COUNTIF($A$2:$A$105,A75)&gt;1,"DUPLICATE",IF(ISNA(MATCH(B75,Styles!$A$2:$A$27,0)),"BAD STYLE",IF(ISNA(MATCH(D75,'Code Tables'!$D$2:$D$40,0)),"BAD COLOR",IF(ISNA(MATCH(F75,'Code Tables'!$I$2:$I$20,0)),"BAD SIZE","ok"))))</f>
        <v>ok</v>
      </c>
      <c r="N75" s="2"/>
      <c r="O75" s="5" t="n">
        <f aca="false">IF(COUNTIFS($B$2:B75,B75,$D$2:D75,D75)=1,1,0)</f>
        <v>1</v>
      </c>
    </row>
    <row r="76" customFormat="false" ht="15" hidden="false" customHeight="false" outlineLevel="0" collapsed="false">
      <c r="A76" s="5" t="str">
        <f aca="false">B76&amp;"-"&amp;D76&amp;"-"&amp;F76</f>
        <v>AC102-VRD-OS</v>
      </c>
      <c r="B76" s="2" t="s">
        <v>74</v>
      </c>
      <c r="C76" s="5" t="str">
        <f aca="false">IFERROR(INDEX(Styles!$B$2:$B$27,MATCH(B76,Styles!$A$2:$A$27,0)),"?")</f>
        <v>Bateau Handle</v>
      </c>
      <c r="D76" s="2" t="s">
        <v>251</v>
      </c>
      <c r="E76" s="5" t="str">
        <f aca="false">IFERROR(INDEX('Code Tables'!$E$2:$E$40,MATCH(D76,'Code Tables'!$D$2:$D$40,0)),"?")</f>
        <v>Verdant</v>
      </c>
      <c r="F76" s="7" t="s">
        <v>52</v>
      </c>
      <c r="G76" s="5" t="str">
        <f aca="false">IFERROR(INDEX('Code Tables'!$J$2:$J$20,MATCH(F76,'Code Tables'!$I$2:$I$20,0)),"?")</f>
        <v>One Size</v>
      </c>
      <c r="H76" s="2" t="s">
        <v>276</v>
      </c>
      <c r="I76" s="2" t="s">
        <v>252</v>
      </c>
      <c r="J76" s="2"/>
      <c r="K76" s="2" t="s">
        <v>31</v>
      </c>
      <c r="L76" s="2"/>
      <c r="M76" s="5" t="str">
        <f aca="false">IF(COUNTIF($A$2:$A$105,A76)&gt;1,"DUPLICATE",IF(ISNA(MATCH(B76,Styles!$A$2:$A$27,0)),"BAD STYLE",IF(ISNA(MATCH(D76,'Code Tables'!$D$2:$D$40,0)),"BAD COLOR",IF(ISNA(MATCH(F76,'Code Tables'!$I$2:$I$20,0)),"BAD SIZE","ok"))))</f>
        <v>ok</v>
      </c>
      <c r="N76" s="2"/>
      <c r="O76" s="5" t="n">
        <f aca="false">IF(COUNTIFS($B$2:B76,B76,$D$2:D76,D76)=1,1,0)</f>
        <v>1</v>
      </c>
    </row>
    <row r="77" customFormat="false" ht="15" hidden="false" customHeight="false" outlineLevel="0" collapsed="false">
      <c r="A77" s="5" t="str">
        <f aca="false">B77&amp;"-"&amp;D77&amp;"-"&amp;F77</f>
        <v>AC102-CSP-OS</v>
      </c>
      <c r="B77" s="2" t="s">
        <v>74</v>
      </c>
      <c r="C77" s="5" t="str">
        <f aca="false">IFERROR(INDEX(Styles!$B$2:$B$27,MATCH(B77,Styles!$A$2:$A$27,0)),"?")</f>
        <v>Bateau Handle</v>
      </c>
      <c r="D77" s="2" t="s">
        <v>253</v>
      </c>
      <c r="E77" s="5" t="str">
        <f aca="false">IFERROR(INDEX('Code Tables'!$E$2:$E$40,MATCH(D77,'Code Tables'!$D$2:$D$40,0)),"?")</f>
        <v>Caspian</v>
      </c>
      <c r="F77" s="7" t="s">
        <v>52</v>
      </c>
      <c r="G77" s="5" t="str">
        <f aca="false">IFERROR(INDEX('Code Tables'!$J$2:$J$20,MATCH(F77,'Code Tables'!$I$2:$I$20,0)),"?")</f>
        <v>One Size</v>
      </c>
      <c r="H77" s="2" t="s">
        <v>276</v>
      </c>
      <c r="I77" s="2" t="s">
        <v>254</v>
      </c>
      <c r="J77" s="2"/>
      <c r="K77" s="2" t="s">
        <v>31</v>
      </c>
      <c r="L77" s="2"/>
      <c r="M77" s="5" t="str">
        <f aca="false">IF(COUNTIF($A$2:$A$105,A77)&gt;1,"DUPLICATE",IF(ISNA(MATCH(B77,Styles!$A$2:$A$27,0)),"BAD STYLE",IF(ISNA(MATCH(D77,'Code Tables'!$D$2:$D$40,0)),"BAD COLOR",IF(ISNA(MATCH(F77,'Code Tables'!$I$2:$I$20,0)),"BAD SIZE","ok"))))</f>
        <v>ok</v>
      </c>
      <c r="N77" s="2"/>
      <c r="O77" s="5" t="n">
        <f aca="false">IF(COUNTIFS($B$2:B77,B77,$D$2:D77,D77)=1,1,0)</f>
        <v>1</v>
      </c>
    </row>
    <row r="78" customFormat="false" ht="15" hidden="false" customHeight="false" outlineLevel="0" collapsed="false">
      <c r="A78" s="5" t="str">
        <f aca="false">B78&amp;"-"&amp;D78&amp;"-"&amp;F78</f>
        <v>AC102-CHC-OS</v>
      </c>
      <c r="B78" s="2" t="s">
        <v>74</v>
      </c>
      <c r="C78" s="5" t="str">
        <f aca="false">IFERROR(INDEX(Styles!$B$2:$B$27,MATCH(B78,Styles!$A$2:$A$27,0)),"?")</f>
        <v>Bateau Handle</v>
      </c>
      <c r="D78" s="2" t="s">
        <v>222</v>
      </c>
      <c r="E78" s="5" t="str">
        <f aca="false">IFERROR(INDEX('Code Tables'!$E$2:$E$40,MATCH(D78,'Code Tables'!$D$2:$D$40,0)),"?")</f>
        <v>Chocolate</v>
      </c>
      <c r="F78" s="7" t="s">
        <v>52</v>
      </c>
      <c r="G78" s="5" t="str">
        <f aca="false">IFERROR(INDEX('Code Tables'!$J$2:$J$20,MATCH(F78,'Code Tables'!$I$2:$I$20,0)),"?")</f>
        <v>One Size</v>
      </c>
      <c r="H78" s="2" t="s">
        <v>276</v>
      </c>
      <c r="I78" s="2" t="s">
        <v>255</v>
      </c>
      <c r="J78" s="2"/>
      <c r="K78" s="2" t="s">
        <v>31</v>
      </c>
      <c r="L78" s="2"/>
      <c r="M78" s="5" t="str">
        <f aca="false">IF(COUNTIF($A$2:$A$105,A78)&gt;1,"DUPLICATE",IF(ISNA(MATCH(B78,Styles!$A$2:$A$27,0)),"BAD STYLE",IF(ISNA(MATCH(D78,'Code Tables'!$D$2:$D$40,0)),"BAD COLOR",IF(ISNA(MATCH(F78,'Code Tables'!$I$2:$I$20,0)),"BAD SIZE","ok"))))</f>
        <v>ok</v>
      </c>
      <c r="N78" s="2"/>
      <c r="O78" s="5" t="n">
        <f aca="false">IF(COUNTIFS($B$2:B78,B78,$D$2:D78,D78)=1,1,0)</f>
        <v>1</v>
      </c>
    </row>
    <row r="79" customFormat="false" ht="15" hidden="false" customHeight="false" outlineLevel="0" collapsed="false">
      <c r="A79" s="5" t="str">
        <f aca="false">B79&amp;"-"&amp;D79&amp;"-"&amp;F79</f>
        <v>AC103-HPK-OS</v>
      </c>
      <c r="B79" s="2" t="s">
        <v>77</v>
      </c>
      <c r="C79" s="5" t="str">
        <f aca="false">IFERROR(INDEX(Styles!$B$2:$B$27,MATCH(B79,Styles!$A$2:$A$27,0)),"?")</f>
        <v>Flower Hair Tie</v>
      </c>
      <c r="D79" s="2" t="s">
        <v>155</v>
      </c>
      <c r="E79" s="5" t="str">
        <f aca="false">IFERROR(INDEX('Code Tables'!$E$2:$E$40,MATCH(D79,'Code Tables'!$D$2:$D$40,0)),"?")</f>
        <v>Hot Pink</v>
      </c>
      <c r="F79" s="7" t="s">
        <v>52</v>
      </c>
      <c r="G79" s="5" t="str">
        <f aca="false">IFERROR(INDEX('Code Tables'!$J$2:$J$20,MATCH(F79,'Code Tables'!$I$2:$I$20,0)),"?")</f>
        <v>One Size</v>
      </c>
      <c r="H79" s="2" t="s">
        <v>277</v>
      </c>
      <c r="I79" s="2" t="s">
        <v>278</v>
      </c>
      <c r="J79" s="2" t="s">
        <v>279</v>
      </c>
      <c r="K79" s="2" t="s">
        <v>31</v>
      </c>
      <c r="L79" s="2"/>
      <c r="M79" s="5" t="str">
        <f aca="false">IF(COUNTIF($A$2:$A$105,A79)&gt;1,"DUPLICATE",IF(ISNA(MATCH(B79,Styles!$A$2:$A$27,0)),"BAD STYLE",IF(ISNA(MATCH(D79,'Code Tables'!$D$2:$D$40,0)),"BAD COLOR",IF(ISNA(MATCH(F79,'Code Tables'!$I$2:$I$20,0)),"BAD SIZE","ok"))))</f>
        <v>ok</v>
      </c>
      <c r="N79" s="2"/>
      <c r="O79" s="5" t="n">
        <f aca="false">IF(COUNTIFS($B$2:B79,B79,$D$2:D79,D79)=1,1,0)</f>
        <v>1</v>
      </c>
    </row>
    <row r="80" customFormat="false" ht="15" hidden="false" customHeight="false" outlineLevel="0" collapsed="false">
      <c r="A80" s="5" t="str">
        <f aca="false">B80&amp;"-"&amp;D80&amp;"-"&amp;F80</f>
        <v>AC104-BDD-OS</v>
      </c>
      <c r="B80" s="2" t="s">
        <v>80</v>
      </c>
      <c r="C80" s="5" t="str">
        <f aca="false">IFERROR(INDEX(Styles!$B$2:$B$27,MATCH(B80,Styles!$A$2:$A$27,0)),"?")</f>
        <v>Sardine</v>
      </c>
      <c r="D80" s="2" t="s">
        <v>280</v>
      </c>
      <c r="E80" s="5" t="str">
        <f aca="false">IFERROR(INDEX('Code Tables'!$E$2:$E$40,MATCH(D80,'Code Tables'!$D$2:$D$40,0)),"?")</f>
        <v>Beaded</v>
      </c>
      <c r="F80" s="7" t="s">
        <v>52</v>
      </c>
      <c r="G80" s="5" t="str">
        <f aca="false">IFERROR(INDEX('Code Tables'!$J$2:$J$20,MATCH(F80,'Code Tables'!$I$2:$I$20,0)),"?")</f>
        <v>One Size</v>
      </c>
      <c r="H80" s="2" t="s">
        <v>281</v>
      </c>
      <c r="I80" s="2" t="s">
        <v>282</v>
      </c>
      <c r="J80" s="2"/>
      <c r="K80" s="2" t="s">
        <v>31</v>
      </c>
      <c r="L80" s="2"/>
      <c r="M80" s="5" t="str">
        <f aca="false">IF(COUNTIF($A$2:$A$105,A80)&gt;1,"DUPLICATE",IF(ISNA(MATCH(B80,Styles!$A$2:$A$27,0)),"BAD STYLE",IF(ISNA(MATCH(D80,'Code Tables'!$D$2:$D$40,0)),"BAD COLOR",IF(ISNA(MATCH(F80,'Code Tables'!$I$2:$I$20,0)),"BAD SIZE","ok"))))</f>
        <v>ok</v>
      </c>
      <c r="N80" s="2"/>
      <c r="O80" s="5" t="n">
        <f aca="false">IF(COUNTIFS($B$2:B80,B80,$D$2:D80,D80)=1,1,0)</f>
        <v>1</v>
      </c>
    </row>
    <row r="81" customFormat="false" ht="15" hidden="false" customHeight="false" outlineLevel="0" collapsed="false">
      <c r="A81" s="5" t="str">
        <f aca="false">B81&amp;"-"&amp;D81&amp;"-"&amp;F81</f>
        <v>AC104-NKD-OS</v>
      </c>
      <c r="B81" s="2" t="s">
        <v>80</v>
      </c>
      <c r="C81" s="5" t="str">
        <f aca="false">IFERROR(INDEX(Styles!$B$2:$B$27,MATCH(B81,Styles!$A$2:$A$27,0)),"?")</f>
        <v>Sardine</v>
      </c>
      <c r="D81" s="2" t="s">
        <v>283</v>
      </c>
      <c r="E81" s="5" t="str">
        <f aca="false">IFERROR(INDEX('Code Tables'!$E$2:$E$40,MATCH(D81,'Code Tables'!$D$2:$D$40,0)),"?")</f>
        <v>Naked</v>
      </c>
      <c r="F81" s="7" t="s">
        <v>52</v>
      </c>
      <c r="G81" s="5" t="str">
        <f aca="false">IFERROR(INDEX('Code Tables'!$J$2:$J$20,MATCH(F81,'Code Tables'!$I$2:$I$20,0)),"?")</f>
        <v>One Size</v>
      </c>
      <c r="H81" s="2" t="s">
        <v>281</v>
      </c>
      <c r="I81" s="2" t="s">
        <v>284</v>
      </c>
      <c r="J81" s="2"/>
      <c r="K81" s="2" t="s">
        <v>31</v>
      </c>
      <c r="L81" s="2"/>
      <c r="M81" s="5" t="str">
        <f aca="false">IF(COUNTIF($A$2:$A$105,A81)&gt;1,"DUPLICATE",IF(ISNA(MATCH(B81,Styles!$A$2:$A$27,0)),"BAD STYLE",IF(ISNA(MATCH(D81,'Code Tables'!$D$2:$D$40,0)),"BAD COLOR",IF(ISNA(MATCH(F81,'Code Tables'!$I$2:$I$20,0)),"BAD SIZE","ok"))))</f>
        <v>ok</v>
      </c>
      <c r="N81" s="2"/>
      <c r="O81" s="5" t="n">
        <f aca="false">IF(COUNTIFS($B$2:B81,B81,$D$2:D81,D81)=1,1,0)</f>
        <v>1</v>
      </c>
    </row>
    <row r="82" customFormat="false" ht="15" hidden="false" customHeight="false" outlineLevel="0" collapsed="false">
      <c r="A82" s="5" t="str">
        <f aca="false">B82&amp;"-"&amp;D82&amp;"-"&amp;F82</f>
        <v>PT101-NAT-OS</v>
      </c>
      <c r="B82" s="2" t="s">
        <v>83</v>
      </c>
      <c r="C82" s="5" t="str">
        <f aca="false">IFERROR(INDEX(Styles!$B$2:$B$27,MATCH(B82,Styles!$A$2:$A$27,0)),"?")</f>
        <v>Bateau Body</v>
      </c>
      <c r="D82" s="2" t="s">
        <v>285</v>
      </c>
      <c r="E82" s="5" t="str">
        <f aca="false">IFERROR(INDEX('Code Tables'!$E$2:$E$40,MATCH(D82,'Code Tables'!$D$2:$D$40,0)),"?")</f>
        <v>Natural</v>
      </c>
      <c r="F82" s="7" t="s">
        <v>52</v>
      </c>
      <c r="G82" s="5" t="str">
        <f aca="false">IFERROR(INDEX('Code Tables'!$J$2:$J$20,MATCH(F82,'Code Tables'!$I$2:$I$20,0)),"?")</f>
        <v>One Size</v>
      </c>
      <c r="H82" s="2" t="s">
        <v>286</v>
      </c>
      <c r="I82" s="2" t="s">
        <v>224</v>
      </c>
      <c r="J82" s="2"/>
      <c r="K82" s="2" t="s">
        <v>36</v>
      </c>
      <c r="L82" s="2"/>
      <c r="M82" s="5" t="str">
        <f aca="false">IF(COUNTIF($A$2:$A$105,A82)&gt;1,"DUPLICATE",IF(ISNA(MATCH(B82,Styles!$A$2:$A$27,0)),"BAD STYLE",IF(ISNA(MATCH(D82,'Code Tables'!$D$2:$D$40,0)),"BAD COLOR",IF(ISNA(MATCH(F82,'Code Tables'!$I$2:$I$20,0)),"BAD SIZE","ok"))))</f>
        <v>ok</v>
      </c>
      <c r="N82" s="2"/>
      <c r="O82" s="5" t="n">
        <f aca="false">IF(COUNTIFS($B$2:B82,B82,$D$2:D82,D82)=1,1,0)</f>
        <v>1</v>
      </c>
    </row>
    <row r="83" customFormat="false" ht="15" hidden="false" customHeight="false" outlineLevel="0" collapsed="false">
      <c r="A83" s="5" t="str">
        <f aca="false">B83&amp;"-"&amp;D83&amp;"-"&amp;F83</f>
        <v>PT102-NAT-OS</v>
      </c>
      <c r="B83" s="2" t="s">
        <v>86</v>
      </c>
      <c r="C83" s="5" t="str">
        <f aca="false">IFERROR(INDEX(Styles!$B$2:$B$27,MATCH(B83,Styles!$A$2:$A$27,0)),"?")</f>
        <v>Petite Bateau Body</v>
      </c>
      <c r="D83" s="2" t="s">
        <v>285</v>
      </c>
      <c r="E83" s="5" t="str">
        <f aca="false">IFERROR(INDEX('Code Tables'!$E$2:$E$40,MATCH(D83,'Code Tables'!$D$2:$D$40,0)),"?")</f>
        <v>Natural</v>
      </c>
      <c r="F83" s="7" t="s">
        <v>52</v>
      </c>
      <c r="G83" s="5" t="str">
        <f aca="false">IFERROR(INDEX('Code Tables'!$J$2:$J$20,MATCH(F83,'Code Tables'!$I$2:$I$20,0)),"?")</f>
        <v>One Size</v>
      </c>
      <c r="H83" s="2" t="s">
        <v>287</v>
      </c>
      <c r="I83" s="2" t="s">
        <v>224</v>
      </c>
      <c r="J83" s="2"/>
      <c r="K83" s="2" t="s">
        <v>36</v>
      </c>
      <c r="L83" s="2"/>
      <c r="M83" s="5" t="str">
        <f aca="false">IF(COUNTIF($A$2:$A$105,A83)&gt;1,"DUPLICATE",IF(ISNA(MATCH(B83,Styles!$A$2:$A$27,0)),"BAD STYLE",IF(ISNA(MATCH(D83,'Code Tables'!$D$2:$D$40,0)),"BAD COLOR",IF(ISNA(MATCH(F83,'Code Tables'!$I$2:$I$20,0)),"BAD SIZE","ok"))))</f>
        <v>ok</v>
      </c>
      <c r="N83" s="2"/>
      <c r="O83" s="5" t="n">
        <f aca="false">IF(COUNTIFS($B$2:B83,B83,$D$2:D83,D83)=1,1,0)</f>
        <v>1</v>
      </c>
    </row>
    <row r="84" customFormat="false" ht="15" hidden="false" customHeight="false" outlineLevel="0" collapsed="false">
      <c r="A84" s="5" t="str">
        <f aca="false">B84&amp;"-"&amp;D84&amp;"-"&amp;F84</f>
        <v>OT101-STD-OS</v>
      </c>
      <c r="B84" s="2" t="s">
        <v>88</v>
      </c>
      <c r="C84" s="5" t="str">
        <f aca="false">IFERROR(INDEX(Styles!$B$2:$B$27,MATCH(B84,Styles!$A$2:$A$27,0)),"?")</f>
        <v>Splash Photo Book</v>
      </c>
      <c r="D84" s="2" t="s">
        <v>288</v>
      </c>
      <c r="E84" s="5" t="str">
        <f aca="false">IFERROR(INDEX('Code Tables'!$E$2:$E$40,MATCH(D84,'Code Tables'!$D$2:$D$40,0)),"?")</f>
        <v>Standard</v>
      </c>
      <c r="F84" s="7" t="s">
        <v>52</v>
      </c>
      <c r="G84" s="5" t="str">
        <f aca="false">IFERROR(INDEX('Code Tables'!$J$2:$J$20,MATCH(F84,'Code Tables'!$I$2:$I$20,0)),"?")</f>
        <v>One Size</v>
      </c>
      <c r="H84" s="2" t="s">
        <v>289</v>
      </c>
      <c r="I84" s="2" t="s">
        <v>224</v>
      </c>
      <c r="J84" s="2"/>
      <c r="K84" s="2" t="s">
        <v>31</v>
      </c>
      <c r="L84" s="2"/>
      <c r="M84" s="5" t="str">
        <f aca="false">IF(COUNTIF($A$2:$A$105,A84)&gt;1,"DUPLICATE",IF(ISNA(MATCH(B84,Styles!$A$2:$A$27,0)),"BAD STYLE",IF(ISNA(MATCH(D84,'Code Tables'!$D$2:$D$40,0)),"BAD COLOR",IF(ISNA(MATCH(F84,'Code Tables'!$I$2:$I$20,0)),"BAD SIZE","ok"))))</f>
        <v>ok</v>
      </c>
      <c r="N84" s="2"/>
      <c r="O84" s="5" t="n">
        <f aca="false">IF(COUNTIFS($B$2:B84,B84,$D$2:D84,D84)=1,1,0)</f>
        <v>1</v>
      </c>
    </row>
    <row r="85" customFormat="false" ht="15" hidden="false" customHeight="false" outlineLevel="0" collapsed="false">
      <c r="A85" s="5" t="str">
        <f aca="false">B85&amp;"-"&amp;D85&amp;"-"&amp;F85</f>
        <v>BT101-PNK-XS</v>
      </c>
      <c r="B85" s="2" t="s">
        <v>45</v>
      </c>
      <c r="C85" s="5" t="str">
        <f aca="false">IFERROR(INDEX(Styles!$B$2:$B$27,MATCH(B85,Styles!$A$2:$A$27,0)),"?")</f>
        <v>5to7 Skirt</v>
      </c>
      <c r="D85" s="2" t="s">
        <v>290</v>
      </c>
      <c r="E85" s="5" t="str">
        <f aca="false">IFERROR(INDEX('Code Tables'!$E$2:$E$40,MATCH(D85,'Code Tables'!$D$2:$D$40,0)),"?")</f>
        <v>Pink</v>
      </c>
      <c r="F85" s="7" t="s">
        <v>268</v>
      </c>
      <c r="G85" s="5" t="str">
        <f aca="false">IFERROR(INDEX('Code Tables'!$J$2:$J$20,MATCH(F85,'Code Tables'!$I$2:$I$20,0)),"?")</f>
        <v>Extra Small</v>
      </c>
      <c r="H85" s="2" t="s">
        <v>291</v>
      </c>
      <c r="I85" s="2" t="s">
        <v>292</v>
      </c>
      <c r="J85" s="2"/>
      <c r="K85" s="2" t="s">
        <v>47</v>
      </c>
      <c r="L85" s="2"/>
      <c r="M85" s="5" t="str">
        <f aca="false">IF(COUNTIF($A$2:$A$105,A85)&gt;1,"DUPLICATE",IF(ISNA(MATCH(B85,Styles!$A$2:$A$27,0)),"BAD STYLE",IF(ISNA(MATCH(D85,'Code Tables'!$D$2:$D$40,0)),"BAD COLOR",IF(ISNA(MATCH(F85,'Code Tables'!$I$2:$I$20,0)),"BAD SIZE","ok"))))</f>
        <v>ok</v>
      </c>
      <c r="N85" s="2" t="s">
        <v>293</v>
      </c>
      <c r="O85" s="5" t="n">
        <f aca="false">IF(COUNTIFS($B$2:B85,B85,$D$2:D85,D85)=1,1,0)</f>
        <v>1</v>
      </c>
    </row>
    <row r="86" customFormat="false" ht="15" hidden="false" customHeight="false" outlineLevel="0" collapsed="false">
      <c r="A86" s="5" t="str">
        <f aca="false">B86&amp;"-"&amp;D86&amp;"-"&amp;F86</f>
        <v>BT101-PNK-SM</v>
      </c>
      <c r="B86" s="2" t="s">
        <v>45</v>
      </c>
      <c r="C86" s="5" t="str">
        <f aca="false">IFERROR(INDEX(Styles!$B$2:$B$27,MATCH(B86,Styles!$A$2:$A$27,0)),"?")</f>
        <v>5to7 Skirt</v>
      </c>
      <c r="D86" s="2" t="s">
        <v>290</v>
      </c>
      <c r="E86" s="5" t="str">
        <f aca="false">IFERROR(INDEX('Code Tables'!$E$2:$E$40,MATCH(D86,'Code Tables'!$D$2:$D$40,0)),"?")</f>
        <v>Pink</v>
      </c>
      <c r="F86" s="7" t="s">
        <v>271</v>
      </c>
      <c r="G86" s="5" t="str">
        <f aca="false">IFERROR(INDEX('Code Tables'!$J$2:$J$20,MATCH(F86,'Code Tables'!$I$2:$I$20,0)),"?")</f>
        <v>Small</v>
      </c>
      <c r="H86" s="2" t="s">
        <v>291</v>
      </c>
      <c r="I86" s="2" t="s">
        <v>294</v>
      </c>
      <c r="J86" s="2"/>
      <c r="K86" s="2" t="s">
        <v>47</v>
      </c>
      <c r="L86" s="2"/>
      <c r="M86" s="5" t="str">
        <f aca="false">IF(COUNTIF($A$2:$A$105,A86)&gt;1,"DUPLICATE",IF(ISNA(MATCH(B86,Styles!$A$2:$A$27,0)),"BAD STYLE",IF(ISNA(MATCH(D86,'Code Tables'!$D$2:$D$40,0)),"BAD COLOR",IF(ISNA(MATCH(F86,'Code Tables'!$I$2:$I$20,0)),"BAD SIZE","ok"))))</f>
        <v>ok</v>
      </c>
      <c r="N86" s="2" t="s">
        <v>293</v>
      </c>
      <c r="O86" s="5" t="n">
        <f aca="false">IF(COUNTIFS($B$2:B86,B86,$D$2:D86,D86)=1,1,0)</f>
        <v>0</v>
      </c>
    </row>
    <row r="87" customFormat="false" ht="15" hidden="false" customHeight="false" outlineLevel="0" collapsed="false">
      <c r="A87" s="5" t="str">
        <f aca="false">B87&amp;"-"&amp;D87&amp;"-"&amp;F87</f>
        <v>BT101-PNK-MD</v>
      </c>
      <c r="B87" s="2" t="s">
        <v>45</v>
      </c>
      <c r="C87" s="5" t="str">
        <f aca="false">IFERROR(INDEX(Styles!$B$2:$B$27,MATCH(B87,Styles!$A$2:$A$27,0)),"?")</f>
        <v>5to7 Skirt</v>
      </c>
      <c r="D87" s="2" t="s">
        <v>290</v>
      </c>
      <c r="E87" s="5" t="str">
        <f aca="false">IFERROR(INDEX('Code Tables'!$E$2:$E$40,MATCH(D87,'Code Tables'!$D$2:$D$40,0)),"?")</f>
        <v>Pink</v>
      </c>
      <c r="F87" s="7" t="s">
        <v>263</v>
      </c>
      <c r="G87" s="5" t="str">
        <f aca="false">IFERROR(INDEX('Code Tables'!$J$2:$J$20,MATCH(F87,'Code Tables'!$I$2:$I$20,0)),"?")</f>
        <v>Medium</v>
      </c>
      <c r="H87" s="2" t="s">
        <v>291</v>
      </c>
      <c r="I87" s="2" t="s">
        <v>295</v>
      </c>
      <c r="J87" s="2"/>
      <c r="K87" s="2" t="s">
        <v>47</v>
      </c>
      <c r="L87" s="2"/>
      <c r="M87" s="5" t="str">
        <f aca="false">IF(COUNTIF($A$2:$A$105,A87)&gt;1,"DUPLICATE",IF(ISNA(MATCH(B87,Styles!$A$2:$A$27,0)),"BAD STYLE",IF(ISNA(MATCH(D87,'Code Tables'!$D$2:$D$40,0)),"BAD COLOR",IF(ISNA(MATCH(F87,'Code Tables'!$I$2:$I$20,0)),"BAD SIZE","ok"))))</f>
        <v>ok</v>
      </c>
      <c r="N87" s="2" t="s">
        <v>293</v>
      </c>
      <c r="O87" s="5" t="n">
        <f aca="false">IF(COUNTIFS($B$2:B87,B87,$D$2:D87,D87)=1,1,0)</f>
        <v>0</v>
      </c>
    </row>
    <row r="88" customFormat="false" ht="15" hidden="false" customHeight="false" outlineLevel="0" collapsed="false">
      <c r="A88" s="5" t="str">
        <f aca="false">B88&amp;"-"&amp;D88&amp;"-"&amp;F88</f>
        <v>BT101-PNK-LG</v>
      </c>
      <c r="B88" s="2" t="s">
        <v>45</v>
      </c>
      <c r="C88" s="5" t="str">
        <f aca="false">IFERROR(INDEX(Styles!$B$2:$B$27,MATCH(B88,Styles!$A$2:$A$27,0)),"?")</f>
        <v>5to7 Skirt</v>
      </c>
      <c r="D88" s="2" t="s">
        <v>290</v>
      </c>
      <c r="E88" s="5" t="str">
        <f aca="false">IFERROR(INDEX('Code Tables'!$E$2:$E$40,MATCH(D88,'Code Tables'!$D$2:$D$40,0)),"?")</f>
        <v>Pink</v>
      </c>
      <c r="F88" s="7" t="s">
        <v>274</v>
      </c>
      <c r="G88" s="5" t="str">
        <f aca="false">IFERROR(INDEX('Code Tables'!$J$2:$J$20,MATCH(F88,'Code Tables'!$I$2:$I$20,0)),"?")</f>
        <v>Large</v>
      </c>
      <c r="H88" s="2" t="s">
        <v>291</v>
      </c>
      <c r="I88" s="2" t="s">
        <v>296</v>
      </c>
      <c r="J88" s="2"/>
      <c r="K88" s="2" t="s">
        <v>47</v>
      </c>
      <c r="L88" s="2"/>
      <c r="M88" s="5" t="str">
        <f aca="false">IF(COUNTIF($A$2:$A$105,A88)&gt;1,"DUPLICATE",IF(ISNA(MATCH(B88,Styles!$A$2:$A$27,0)),"BAD STYLE",IF(ISNA(MATCH(D88,'Code Tables'!$D$2:$D$40,0)),"BAD COLOR",IF(ISNA(MATCH(F88,'Code Tables'!$I$2:$I$20,0)),"BAD SIZE","ok"))))</f>
        <v>ok</v>
      </c>
      <c r="N88" s="2" t="s">
        <v>293</v>
      </c>
      <c r="O88" s="5" t="n">
        <f aca="false">IF(COUNTIFS($B$2:B88,B88,$D$2:D88,D88)=1,1,0)</f>
        <v>0</v>
      </c>
    </row>
    <row r="89" customFormat="false" ht="15" hidden="false" customHeight="false" outlineLevel="0" collapsed="false">
      <c r="A89" s="5" t="str">
        <f aca="false">B89&amp;"-"&amp;D89&amp;"-"&amp;F89</f>
        <v>BT101-PNK-XL</v>
      </c>
      <c r="B89" s="2" t="s">
        <v>45</v>
      </c>
      <c r="C89" s="5" t="str">
        <f aca="false">IFERROR(INDEX(Styles!$B$2:$B$27,MATCH(B89,Styles!$A$2:$A$27,0)),"?")</f>
        <v>5to7 Skirt</v>
      </c>
      <c r="D89" s="2" t="s">
        <v>290</v>
      </c>
      <c r="E89" s="5" t="str">
        <f aca="false">IFERROR(INDEX('Code Tables'!$E$2:$E$40,MATCH(D89,'Code Tables'!$D$2:$D$40,0)),"?")</f>
        <v>Pink</v>
      </c>
      <c r="F89" s="7" t="s">
        <v>297</v>
      </c>
      <c r="G89" s="5" t="str">
        <f aca="false">IFERROR(INDEX('Code Tables'!$J$2:$J$20,MATCH(F89,'Code Tables'!$I$2:$I$20,0)),"?")</f>
        <v>Extra Large</v>
      </c>
      <c r="H89" s="2" t="s">
        <v>291</v>
      </c>
      <c r="I89" s="2" t="s">
        <v>298</v>
      </c>
      <c r="J89" s="2"/>
      <c r="K89" s="2" t="s">
        <v>47</v>
      </c>
      <c r="L89" s="2"/>
      <c r="M89" s="5" t="str">
        <f aca="false">IF(COUNTIF($A$2:$A$105,A89)&gt;1,"DUPLICATE",IF(ISNA(MATCH(B89,Styles!$A$2:$A$27,0)),"BAD STYLE",IF(ISNA(MATCH(D89,'Code Tables'!$D$2:$D$40,0)),"BAD COLOR",IF(ISNA(MATCH(F89,'Code Tables'!$I$2:$I$20,0)),"BAD SIZE","ok"))))</f>
        <v>ok</v>
      </c>
      <c r="N89" s="2" t="s">
        <v>293</v>
      </c>
      <c r="O89" s="5" t="n">
        <f aca="false">IF(COUNTIFS($B$2:B89,B89,$D$2:D89,D89)=1,1,0)</f>
        <v>0</v>
      </c>
    </row>
    <row r="90" customFormat="false" ht="15" hidden="false" customHeight="false" outlineLevel="0" collapsed="false">
      <c r="A90" s="5" t="str">
        <f aca="false">B90&amp;"-"&amp;D90&amp;"-"&amp;F90</f>
        <v>BT101-PRP-XS</v>
      </c>
      <c r="B90" s="2" t="s">
        <v>45</v>
      </c>
      <c r="C90" s="5" t="str">
        <f aca="false">IFERROR(INDEX(Styles!$B$2:$B$27,MATCH(B90,Styles!$A$2:$A$27,0)),"?")</f>
        <v>5to7 Skirt</v>
      </c>
      <c r="D90" s="2" t="s">
        <v>299</v>
      </c>
      <c r="E90" s="5" t="str">
        <f aca="false">IFERROR(INDEX('Code Tables'!$E$2:$E$40,MATCH(D90,'Code Tables'!$D$2:$D$40,0)),"?")</f>
        <v>Purple</v>
      </c>
      <c r="F90" s="7" t="s">
        <v>268</v>
      </c>
      <c r="G90" s="5" t="str">
        <f aca="false">IFERROR(INDEX('Code Tables'!$J$2:$J$20,MATCH(F90,'Code Tables'!$I$2:$I$20,0)),"?")</f>
        <v>Extra Small</v>
      </c>
      <c r="H90" s="2" t="s">
        <v>291</v>
      </c>
      <c r="I90" s="2" t="s">
        <v>300</v>
      </c>
      <c r="J90" s="2"/>
      <c r="K90" s="2" t="s">
        <v>47</v>
      </c>
      <c r="L90" s="2"/>
      <c r="M90" s="5" t="str">
        <f aca="false">IF(COUNTIF($A$2:$A$105,A90)&gt;1,"DUPLICATE",IF(ISNA(MATCH(B90,Styles!$A$2:$A$27,0)),"BAD STYLE",IF(ISNA(MATCH(D90,'Code Tables'!$D$2:$D$40,0)),"BAD COLOR",IF(ISNA(MATCH(F90,'Code Tables'!$I$2:$I$20,0)),"BAD SIZE","ok"))))</f>
        <v>ok</v>
      </c>
      <c r="N90" s="2" t="s">
        <v>293</v>
      </c>
      <c r="O90" s="5" t="n">
        <f aca="false">IF(COUNTIFS($B$2:B90,B90,$D$2:D90,D90)=1,1,0)</f>
        <v>1</v>
      </c>
    </row>
    <row r="91" customFormat="false" ht="15" hidden="false" customHeight="false" outlineLevel="0" collapsed="false">
      <c r="A91" s="5" t="str">
        <f aca="false">B91&amp;"-"&amp;D91&amp;"-"&amp;F91</f>
        <v>BT101-PRP-SM</v>
      </c>
      <c r="B91" s="2" t="s">
        <v>45</v>
      </c>
      <c r="C91" s="5" t="str">
        <f aca="false">IFERROR(INDEX(Styles!$B$2:$B$27,MATCH(B91,Styles!$A$2:$A$27,0)),"?")</f>
        <v>5to7 Skirt</v>
      </c>
      <c r="D91" s="2" t="s">
        <v>299</v>
      </c>
      <c r="E91" s="5" t="str">
        <f aca="false">IFERROR(INDEX('Code Tables'!$E$2:$E$40,MATCH(D91,'Code Tables'!$D$2:$D$40,0)),"?")</f>
        <v>Purple</v>
      </c>
      <c r="F91" s="7" t="s">
        <v>271</v>
      </c>
      <c r="G91" s="5" t="str">
        <f aca="false">IFERROR(INDEX('Code Tables'!$J$2:$J$20,MATCH(F91,'Code Tables'!$I$2:$I$20,0)),"?")</f>
        <v>Small</v>
      </c>
      <c r="H91" s="2" t="s">
        <v>291</v>
      </c>
      <c r="I91" s="2" t="s">
        <v>301</v>
      </c>
      <c r="J91" s="2"/>
      <c r="K91" s="2" t="s">
        <v>47</v>
      </c>
      <c r="L91" s="2"/>
      <c r="M91" s="5" t="str">
        <f aca="false">IF(COUNTIF($A$2:$A$105,A91)&gt;1,"DUPLICATE",IF(ISNA(MATCH(B91,Styles!$A$2:$A$27,0)),"BAD STYLE",IF(ISNA(MATCH(D91,'Code Tables'!$D$2:$D$40,0)),"BAD COLOR",IF(ISNA(MATCH(F91,'Code Tables'!$I$2:$I$20,0)),"BAD SIZE","ok"))))</f>
        <v>ok</v>
      </c>
      <c r="N91" s="2" t="s">
        <v>293</v>
      </c>
      <c r="O91" s="5" t="n">
        <f aca="false">IF(COUNTIFS($B$2:B91,B91,$D$2:D91,D91)=1,1,0)</f>
        <v>0</v>
      </c>
    </row>
    <row r="92" customFormat="false" ht="15" hidden="false" customHeight="false" outlineLevel="0" collapsed="false">
      <c r="A92" s="5" t="str">
        <f aca="false">B92&amp;"-"&amp;D92&amp;"-"&amp;F92</f>
        <v>BT101-PRP-MD</v>
      </c>
      <c r="B92" s="2" t="s">
        <v>45</v>
      </c>
      <c r="C92" s="5" t="str">
        <f aca="false">IFERROR(INDEX(Styles!$B$2:$B$27,MATCH(B92,Styles!$A$2:$A$27,0)),"?")</f>
        <v>5to7 Skirt</v>
      </c>
      <c r="D92" s="2" t="s">
        <v>299</v>
      </c>
      <c r="E92" s="5" t="str">
        <f aca="false">IFERROR(INDEX('Code Tables'!$E$2:$E$40,MATCH(D92,'Code Tables'!$D$2:$D$40,0)),"?")</f>
        <v>Purple</v>
      </c>
      <c r="F92" s="7" t="s">
        <v>263</v>
      </c>
      <c r="G92" s="5" t="str">
        <f aca="false">IFERROR(INDEX('Code Tables'!$J$2:$J$20,MATCH(F92,'Code Tables'!$I$2:$I$20,0)),"?")</f>
        <v>Medium</v>
      </c>
      <c r="H92" s="2" t="s">
        <v>291</v>
      </c>
      <c r="I92" s="2" t="s">
        <v>302</v>
      </c>
      <c r="J92" s="2"/>
      <c r="K92" s="2" t="s">
        <v>47</v>
      </c>
      <c r="L92" s="2"/>
      <c r="M92" s="5" t="str">
        <f aca="false">IF(COUNTIF($A$2:$A$105,A92)&gt;1,"DUPLICATE",IF(ISNA(MATCH(B92,Styles!$A$2:$A$27,0)),"BAD STYLE",IF(ISNA(MATCH(D92,'Code Tables'!$D$2:$D$40,0)),"BAD COLOR",IF(ISNA(MATCH(F92,'Code Tables'!$I$2:$I$20,0)),"BAD SIZE","ok"))))</f>
        <v>ok</v>
      </c>
      <c r="N92" s="2" t="s">
        <v>293</v>
      </c>
      <c r="O92" s="5" t="n">
        <f aca="false">IF(COUNTIFS($B$2:B92,B92,$D$2:D92,D92)=1,1,0)</f>
        <v>0</v>
      </c>
    </row>
    <row r="93" customFormat="false" ht="15" hidden="false" customHeight="false" outlineLevel="0" collapsed="false">
      <c r="A93" s="5" t="str">
        <f aca="false">B93&amp;"-"&amp;D93&amp;"-"&amp;F93</f>
        <v>BT101-PRP-LG</v>
      </c>
      <c r="B93" s="2" t="s">
        <v>45</v>
      </c>
      <c r="C93" s="5" t="str">
        <f aca="false">IFERROR(INDEX(Styles!$B$2:$B$27,MATCH(B93,Styles!$A$2:$A$27,0)),"?")</f>
        <v>5to7 Skirt</v>
      </c>
      <c r="D93" s="2" t="s">
        <v>299</v>
      </c>
      <c r="E93" s="5" t="str">
        <f aca="false">IFERROR(INDEX('Code Tables'!$E$2:$E$40,MATCH(D93,'Code Tables'!$D$2:$D$40,0)),"?")</f>
        <v>Purple</v>
      </c>
      <c r="F93" s="7" t="s">
        <v>274</v>
      </c>
      <c r="G93" s="5" t="str">
        <f aca="false">IFERROR(INDEX('Code Tables'!$J$2:$J$20,MATCH(F93,'Code Tables'!$I$2:$I$20,0)),"?")</f>
        <v>Large</v>
      </c>
      <c r="H93" s="2" t="s">
        <v>291</v>
      </c>
      <c r="I93" s="2" t="s">
        <v>303</v>
      </c>
      <c r="J93" s="2"/>
      <c r="K93" s="2" t="s">
        <v>47</v>
      </c>
      <c r="L93" s="2"/>
      <c r="M93" s="5" t="str">
        <f aca="false">IF(COUNTIF($A$2:$A$105,A93)&gt;1,"DUPLICATE",IF(ISNA(MATCH(B93,Styles!$A$2:$A$27,0)),"BAD STYLE",IF(ISNA(MATCH(D93,'Code Tables'!$D$2:$D$40,0)),"BAD COLOR",IF(ISNA(MATCH(F93,'Code Tables'!$I$2:$I$20,0)),"BAD SIZE","ok"))))</f>
        <v>ok</v>
      </c>
      <c r="N93" s="2" t="s">
        <v>293</v>
      </c>
      <c r="O93" s="5" t="n">
        <f aca="false">IF(COUNTIFS($B$2:B93,B93,$D$2:D93,D93)=1,1,0)</f>
        <v>0</v>
      </c>
    </row>
    <row r="94" customFormat="false" ht="15" hidden="false" customHeight="false" outlineLevel="0" collapsed="false">
      <c r="A94" s="5" t="str">
        <f aca="false">B94&amp;"-"&amp;D94&amp;"-"&amp;F94</f>
        <v>BT101-PRP-XL</v>
      </c>
      <c r="B94" s="2" t="s">
        <v>45</v>
      </c>
      <c r="C94" s="5" t="str">
        <f aca="false">IFERROR(INDEX(Styles!$B$2:$B$27,MATCH(B94,Styles!$A$2:$A$27,0)),"?")</f>
        <v>5to7 Skirt</v>
      </c>
      <c r="D94" s="2" t="s">
        <v>299</v>
      </c>
      <c r="E94" s="5" t="str">
        <f aca="false">IFERROR(INDEX('Code Tables'!$E$2:$E$40,MATCH(D94,'Code Tables'!$D$2:$D$40,0)),"?")</f>
        <v>Purple</v>
      </c>
      <c r="F94" s="7" t="s">
        <v>297</v>
      </c>
      <c r="G94" s="5" t="str">
        <f aca="false">IFERROR(INDEX('Code Tables'!$J$2:$J$20,MATCH(F94,'Code Tables'!$I$2:$I$20,0)),"?")</f>
        <v>Extra Large</v>
      </c>
      <c r="H94" s="2" t="s">
        <v>291</v>
      </c>
      <c r="I94" s="2" t="s">
        <v>304</v>
      </c>
      <c r="J94" s="2"/>
      <c r="K94" s="2" t="s">
        <v>47</v>
      </c>
      <c r="L94" s="2"/>
      <c r="M94" s="5" t="str">
        <f aca="false">IF(COUNTIF($A$2:$A$105,A94)&gt;1,"DUPLICATE",IF(ISNA(MATCH(B94,Styles!$A$2:$A$27,0)),"BAD STYLE",IF(ISNA(MATCH(D94,'Code Tables'!$D$2:$D$40,0)),"BAD COLOR",IF(ISNA(MATCH(F94,'Code Tables'!$I$2:$I$20,0)),"BAD SIZE","ok"))))</f>
        <v>ok</v>
      </c>
      <c r="N94" s="2" t="s">
        <v>293</v>
      </c>
      <c r="O94" s="5" t="n">
        <f aca="false">IF(COUNTIFS($B$2:B94,B94,$D$2:D94,D94)=1,1,0)</f>
        <v>0</v>
      </c>
    </row>
    <row r="95" customFormat="false" ht="15" hidden="false" customHeight="false" outlineLevel="0" collapsed="false">
      <c r="A95" s="5" t="str">
        <f aca="false">B95&amp;"-"&amp;D95&amp;"-"&amp;F95</f>
        <v>IN101-WHT-XS</v>
      </c>
      <c r="B95" s="2" t="s">
        <v>91</v>
      </c>
      <c r="C95" s="5" t="str">
        <f aca="false">IFERROR(INDEX(Styles!$B$2:$B$27,MATCH(B95,Styles!$A$2:$A$27,0)),"?")</f>
        <v>Cleo Underwear</v>
      </c>
      <c r="D95" s="2" t="s">
        <v>138</v>
      </c>
      <c r="E95" s="5" t="str">
        <f aca="false">IFERROR(INDEX('Code Tables'!$E$2:$E$40,MATCH(D95,'Code Tables'!$D$2:$D$40,0)),"?")</f>
        <v>White</v>
      </c>
      <c r="F95" s="7" t="s">
        <v>268</v>
      </c>
      <c r="G95" s="5" t="str">
        <f aca="false">IFERROR(INDEX('Code Tables'!$J$2:$J$20,MATCH(F95,'Code Tables'!$I$2:$I$20,0)),"?")</f>
        <v>Extra Small</v>
      </c>
      <c r="H95" s="2" t="s">
        <v>305</v>
      </c>
      <c r="I95" s="2" t="s">
        <v>306</v>
      </c>
      <c r="J95" s="2"/>
      <c r="K95" s="2" t="s">
        <v>93</v>
      </c>
      <c r="L95" s="2"/>
      <c r="M95" s="5" t="str">
        <f aca="false">IF(COUNTIF($A$2:$A$105,A95)&gt;1,"DUPLICATE",IF(ISNA(MATCH(B95,Styles!$A$2:$A$27,0)),"BAD STYLE",IF(ISNA(MATCH(D95,'Code Tables'!$D$2:$D$40,0)),"BAD COLOR",IF(ISNA(MATCH(F95,'Code Tables'!$I$2:$I$20,0)),"BAD SIZE","ok"))))</f>
        <v>ok</v>
      </c>
      <c r="N95" s="2" t="s">
        <v>307</v>
      </c>
      <c r="O95" s="5" t="n">
        <f aca="false">IF(COUNTIFS($B$2:B95,B95,$D$2:D95,D95)=1,1,0)</f>
        <v>1</v>
      </c>
    </row>
    <row r="96" customFormat="false" ht="15" hidden="false" customHeight="false" outlineLevel="0" collapsed="false">
      <c r="A96" s="5" t="str">
        <f aca="false">B96&amp;"-"&amp;D96&amp;"-"&amp;F96</f>
        <v>IN101-WHT-SM</v>
      </c>
      <c r="B96" s="2" t="s">
        <v>91</v>
      </c>
      <c r="C96" s="5" t="str">
        <f aca="false">IFERROR(INDEX(Styles!$B$2:$B$27,MATCH(B96,Styles!$A$2:$A$27,0)),"?")</f>
        <v>Cleo Underwear</v>
      </c>
      <c r="D96" s="2" t="s">
        <v>138</v>
      </c>
      <c r="E96" s="5" t="str">
        <f aca="false">IFERROR(INDEX('Code Tables'!$E$2:$E$40,MATCH(D96,'Code Tables'!$D$2:$D$40,0)),"?")</f>
        <v>White</v>
      </c>
      <c r="F96" s="7" t="s">
        <v>271</v>
      </c>
      <c r="G96" s="5" t="str">
        <f aca="false">IFERROR(INDEX('Code Tables'!$J$2:$J$20,MATCH(F96,'Code Tables'!$I$2:$I$20,0)),"?")</f>
        <v>Small</v>
      </c>
      <c r="H96" s="2" t="s">
        <v>305</v>
      </c>
      <c r="I96" s="2" t="s">
        <v>308</v>
      </c>
      <c r="J96" s="2"/>
      <c r="K96" s="2" t="s">
        <v>93</v>
      </c>
      <c r="L96" s="2"/>
      <c r="M96" s="5" t="str">
        <f aca="false">IF(COUNTIF($A$2:$A$105,A96)&gt;1,"DUPLICATE",IF(ISNA(MATCH(B96,Styles!$A$2:$A$27,0)),"BAD STYLE",IF(ISNA(MATCH(D96,'Code Tables'!$D$2:$D$40,0)),"BAD COLOR",IF(ISNA(MATCH(F96,'Code Tables'!$I$2:$I$20,0)),"BAD SIZE","ok"))))</f>
        <v>ok</v>
      </c>
      <c r="N96" s="2" t="s">
        <v>307</v>
      </c>
      <c r="O96" s="5" t="n">
        <f aca="false">IF(COUNTIFS($B$2:B96,B96,$D$2:D96,D96)=1,1,0)</f>
        <v>0</v>
      </c>
    </row>
    <row r="97" customFormat="false" ht="15" hidden="false" customHeight="false" outlineLevel="0" collapsed="false">
      <c r="A97" s="5" t="str">
        <f aca="false">B97&amp;"-"&amp;D97&amp;"-"&amp;F97</f>
        <v>IN101-WHT-MD</v>
      </c>
      <c r="B97" s="2" t="s">
        <v>91</v>
      </c>
      <c r="C97" s="5" t="str">
        <f aca="false">IFERROR(INDEX(Styles!$B$2:$B$27,MATCH(B97,Styles!$A$2:$A$27,0)),"?")</f>
        <v>Cleo Underwear</v>
      </c>
      <c r="D97" s="2" t="s">
        <v>138</v>
      </c>
      <c r="E97" s="5" t="str">
        <f aca="false">IFERROR(INDEX('Code Tables'!$E$2:$E$40,MATCH(D97,'Code Tables'!$D$2:$D$40,0)),"?")</f>
        <v>White</v>
      </c>
      <c r="F97" s="7" t="s">
        <v>263</v>
      </c>
      <c r="G97" s="5" t="str">
        <f aca="false">IFERROR(INDEX('Code Tables'!$J$2:$J$20,MATCH(F97,'Code Tables'!$I$2:$I$20,0)),"?")</f>
        <v>Medium</v>
      </c>
      <c r="H97" s="2" t="s">
        <v>305</v>
      </c>
      <c r="I97" s="2" t="s">
        <v>309</v>
      </c>
      <c r="J97" s="2"/>
      <c r="K97" s="2" t="s">
        <v>93</v>
      </c>
      <c r="L97" s="2"/>
      <c r="M97" s="5" t="str">
        <f aca="false">IF(COUNTIF($A$2:$A$105,A97)&gt;1,"DUPLICATE",IF(ISNA(MATCH(B97,Styles!$A$2:$A$27,0)),"BAD STYLE",IF(ISNA(MATCH(D97,'Code Tables'!$D$2:$D$40,0)),"BAD COLOR",IF(ISNA(MATCH(F97,'Code Tables'!$I$2:$I$20,0)),"BAD SIZE","ok"))))</f>
        <v>ok</v>
      </c>
      <c r="N97" s="2" t="s">
        <v>307</v>
      </c>
      <c r="O97" s="5" t="n">
        <f aca="false">IF(COUNTIFS($B$2:B97,B97,$D$2:D97,D97)=1,1,0)</f>
        <v>0</v>
      </c>
    </row>
    <row r="98" customFormat="false" ht="15" hidden="false" customHeight="false" outlineLevel="0" collapsed="false">
      <c r="A98" s="5" t="str">
        <f aca="false">B98&amp;"-"&amp;D98&amp;"-"&amp;F98</f>
        <v>IN101-WHT-LG</v>
      </c>
      <c r="B98" s="2" t="s">
        <v>91</v>
      </c>
      <c r="C98" s="5" t="str">
        <f aca="false">IFERROR(INDEX(Styles!$B$2:$B$27,MATCH(B98,Styles!$A$2:$A$27,0)),"?")</f>
        <v>Cleo Underwear</v>
      </c>
      <c r="D98" s="2" t="s">
        <v>138</v>
      </c>
      <c r="E98" s="5" t="str">
        <f aca="false">IFERROR(INDEX('Code Tables'!$E$2:$E$40,MATCH(D98,'Code Tables'!$D$2:$D$40,0)),"?")</f>
        <v>White</v>
      </c>
      <c r="F98" s="7" t="s">
        <v>274</v>
      </c>
      <c r="G98" s="5" t="str">
        <f aca="false">IFERROR(INDEX('Code Tables'!$J$2:$J$20,MATCH(F98,'Code Tables'!$I$2:$I$20,0)),"?")</f>
        <v>Large</v>
      </c>
      <c r="H98" s="2" t="s">
        <v>305</v>
      </c>
      <c r="I98" s="2" t="s">
        <v>310</v>
      </c>
      <c r="J98" s="2"/>
      <c r="K98" s="2" t="s">
        <v>93</v>
      </c>
      <c r="L98" s="2"/>
      <c r="M98" s="5" t="str">
        <f aca="false">IF(COUNTIF($A$2:$A$105,A98)&gt;1,"DUPLICATE",IF(ISNA(MATCH(B98,Styles!$A$2:$A$27,0)),"BAD STYLE",IF(ISNA(MATCH(D98,'Code Tables'!$D$2:$D$40,0)),"BAD COLOR",IF(ISNA(MATCH(F98,'Code Tables'!$I$2:$I$20,0)),"BAD SIZE","ok"))))</f>
        <v>ok</v>
      </c>
      <c r="N98" s="2" t="s">
        <v>307</v>
      </c>
      <c r="O98" s="5" t="n">
        <f aca="false">IF(COUNTIFS($B$2:B98,B98,$D$2:D98,D98)=1,1,0)</f>
        <v>0</v>
      </c>
    </row>
    <row r="99" customFormat="false" ht="15" hidden="false" customHeight="false" outlineLevel="0" collapsed="false">
      <c r="A99" s="5" t="str">
        <f aca="false">B99&amp;"-"&amp;D99&amp;"-"&amp;F99</f>
        <v>IN101-WHT-XL</v>
      </c>
      <c r="B99" s="2" t="s">
        <v>91</v>
      </c>
      <c r="C99" s="5" t="str">
        <f aca="false">IFERROR(INDEX(Styles!$B$2:$B$27,MATCH(B99,Styles!$A$2:$A$27,0)),"?")</f>
        <v>Cleo Underwear</v>
      </c>
      <c r="D99" s="2" t="s">
        <v>138</v>
      </c>
      <c r="E99" s="5" t="str">
        <f aca="false">IFERROR(INDEX('Code Tables'!$E$2:$E$40,MATCH(D99,'Code Tables'!$D$2:$D$40,0)),"?")</f>
        <v>White</v>
      </c>
      <c r="F99" s="7" t="s">
        <v>297</v>
      </c>
      <c r="G99" s="5" t="str">
        <f aca="false">IFERROR(INDEX('Code Tables'!$J$2:$J$20,MATCH(F99,'Code Tables'!$I$2:$I$20,0)),"?")</f>
        <v>Extra Large</v>
      </c>
      <c r="H99" s="2" t="s">
        <v>305</v>
      </c>
      <c r="I99" s="2" t="s">
        <v>311</v>
      </c>
      <c r="J99" s="2"/>
      <c r="K99" s="2" t="s">
        <v>93</v>
      </c>
      <c r="L99" s="2"/>
      <c r="M99" s="5" t="str">
        <f aca="false">IF(COUNTIF($A$2:$A$105,A99)&gt;1,"DUPLICATE",IF(ISNA(MATCH(B99,Styles!$A$2:$A$27,0)),"BAD STYLE",IF(ISNA(MATCH(D99,'Code Tables'!$D$2:$D$40,0)),"BAD COLOR",IF(ISNA(MATCH(F99,'Code Tables'!$I$2:$I$20,0)),"BAD SIZE","ok"))))</f>
        <v>ok</v>
      </c>
      <c r="N99" s="2" t="s">
        <v>307</v>
      </c>
      <c r="O99" s="5" t="n">
        <f aca="false">IF(COUNTIFS($B$2:B99,B99,$D$2:D99,D99)=1,1,0)</f>
        <v>0</v>
      </c>
    </row>
    <row r="100" customFormat="false" ht="15" hidden="false" customHeight="false" outlineLevel="0" collapsed="false">
      <c r="A100" s="5" t="str">
        <f aca="false">B100&amp;"-"&amp;D100&amp;"-"&amp;F100</f>
        <v>IN101-PNK-XS</v>
      </c>
      <c r="B100" s="2" t="s">
        <v>91</v>
      </c>
      <c r="C100" s="5" t="str">
        <f aca="false">IFERROR(INDEX(Styles!$B$2:$B$27,MATCH(B100,Styles!$A$2:$A$27,0)),"?")</f>
        <v>Cleo Underwear</v>
      </c>
      <c r="D100" s="2" t="s">
        <v>290</v>
      </c>
      <c r="E100" s="5" t="str">
        <f aca="false">IFERROR(INDEX('Code Tables'!$E$2:$E$40,MATCH(D100,'Code Tables'!$D$2:$D$40,0)),"?")</f>
        <v>Pink</v>
      </c>
      <c r="F100" s="7" t="s">
        <v>268</v>
      </c>
      <c r="G100" s="5" t="str">
        <f aca="false">IFERROR(INDEX('Code Tables'!$J$2:$J$20,MATCH(F100,'Code Tables'!$I$2:$I$20,0)),"?")</f>
        <v>Extra Small</v>
      </c>
      <c r="H100" s="2" t="s">
        <v>305</v>
      </c>
      <c r="I100" s="2" t="s">
        <v>292</v>
      </c>
      <c r="J100" s="2"/>
      <c r="K100" s="2" t="s">
        <v>93</v>
      </c>
      <c r="L100" s="2"/>
      <c r="M100" s="5" t="str">
        <f aca="false">IF(COUNTIF($A$2:$A$105,A100)&gt;1,"DUPLICATE",IF(ISNA(MATCH(B100,Styles!$A$2:$A$27,0)),"BAD STYLE",IF(ISNA(MATCH(D100,'Code Tables'!$D$2:$D$40,0)),"BAD COLOR",IF(ISNA(MATCH(F100,'Code Tables'!$I$2:$I$20,0)),"BAD SIZE","ok"))))</f>
        <v>ok</v>
      </c>
      <c r="N100" s="2" t="s">
        <v>307</v>
      </c>
      <c r="O100" s="5" t="n">
        <f aca="false">IF(COUNTIFS($B$2:B100,B100,$D$2:D100,D100)=1,1,0)</f>
        <v>1</v>
      </c>
    </row>
    <row r="101" customFormat="false" ht="15" hidden="false" customHeight="false" outlineLevel="0" collapsed="false">
      <c r="A101" s="5" t="str">
        <f aca="false">B101&amp;"-"&amp;D101&amp;"-"&amp;F101</f>
        <v>IN101-PNK-SM</v>
      </c>
      <c r="B101" s="2" t="s">
        <v>91</v>
      </c>
      <c r="C101" s="5" t="str">
        <f aca="false">IFERROR(INDEX(Styles!$B$2:$B$27,MATCH(B101,Styles!$A$2:$A$27,0)),"?")</f>
        <v>Cleo Underwear</v>
      </c>
      <c r="D101" s="2" t="s">
        <v>290</v>
      </c>
      <c r="E101" s="5" t="str">
        <f aca="false">IFERROR(INDEX('Code Tables'!$E$2:$E$40,MATCH(D101,'Code Tables'!$D$2:$D$40,0)),"?")</f>
        <v>Pink</v>
      </c>
      <c r="F101" s="7" t="s">
        <v>271</v>
      </c>
      <c r="G101" s="5" t="str">
        <f aca="false">IFERROR(INDEX('Code Tables'!$J$2:$J$20,MATCH(F101,'Code Tables'!$I$2:$I$20,0)),"?")</f>
        <v>Small</v>
      </c>
      <c r="H101" s="2" t="s">
        <v>305</v>
      </c>
      <c r="I101" s="2" t="s">
        <v>294</v>
      </c>
      <c r="J101" s="2"/>
      <c r="K101" s="2" t="s">
        <v>93</v>
      </c>
      <c r="L101" s="2"/>
      <c r="M101" s="5" t="str">
        <f aca="false">IF(COUNTIF($A$2:$A$105,A101)&gt;1,"DUPLICATE",IF(ISNA(MATCH(B101,Styles!$A$2:$A$27,0)),"BAD STYLE",IF(ISNA(MATCH(D101,'Code Tables'!$D$2:$D$40,0)),"BAD COLOR",IF(ISNA(MATCH(F101,'Code Tables'!$I$2:$I$20,0)),"BAD SIZE","ok"))))</f>
        <v>ok</v>
      </c>
      <c r="N101" s="2" t="s">
        <v>307</v>
      </c>
      <c r="O101" s="5" t="n">
        <f aca="false">IF(COUNTIFS($B$2:B101,B101,$D$2:D101,D101)=1,1,0)</f>
        <v>0</v>
      </c>
    </row>
    <row r="102" customFormat="false" ht="15" hidden="false" customHeight="false" outlineLevel="0" collapsed="false">
      <c r="A102" s="5" t="str">
        <f aca="false">B102&amp;"-"&amp;D102&amp;"-"&amp;F102</f>
        <v>IN101-PNK-MD</v>
      </c>
      <c r="B102" s="2" t="s">
        <v>91</v>
      </c>
      <c r="C102" s="5" t="str">
        <f aca="false">IFERROR(INDEX(Styles!$B$2:$B$27,MATCH(B102,Styles!$A$2:$A$27,0)),"?")</f>
        <v>Cleo Underwear</v>
      </c>
      <c r="D102" s="2" t="s">
        <v>290</v>
      </c>
      <c r="E102" s="5" t="str">
        <f aca="false">IFERROR(INDEX('Code Tables'!$E$2:$E$40,MATCH(D102,'Code Tables'!$D$2:$D$40,0)),"?")</f>
        <v>Pink</v>
      </c>
      <c r="F102" s="7" t="s">
        <v>263</v>
      </c>
      <c r="G102" s="5" t="str">
        <f aca="false">IFERROR(INDEX('Code Tables'!$J$2:$J$20,MATCH(F102,'Code Tables'!$I$2:$I$20,0)),"?")</f>
        <v>Medium</v>
      </c>
      <c r="H102" s="2" t="s">
        <v>305</v>
      </c>
      <c r="I102" s="2" t="s">
        <v>295</v>
      </c>
      <c r="J102" s="2"/>
      <c r="K102" s="2" t="s">
        <v>93</v>
      </c>
      <c r="L102" s="2"/>
      <c r="M102" s="5" t="str">
        <f aca="false">IF(COUNTIF($A$2:$A$105,A102)&gt;1,"DUPLICATE",IF(ISNA(MATCH(B102,Styles!$A$2:$A$27,0)),"BAD STYLE",IF(ISNA(MATCH(D102,'Code Tables'!$D$2:$D$40,0)),"BAD COLOR",IF(ISNA(MATCH(F102,'Code Tables'!$I$2:$I$20,0)),"BAD SIZE","ok"))))</f>
        <v>ok</v>
      </c>
      <c r="N102" s="2" t="s">
        <v>307</v>
      </c>
      <c r="O102" s="5" t="n">
        <f aca="false">IF(COUNTIFS($B$2:B102,B102,$D$2:D102,D102)=1,1,0)</f>
        <v>0</v>
      </c>
    </row>
    <row r="103" customFormat="false" ht="15" hidden="false" customHeight="false" outlineLevel="0" collapsed="false">
      <c r="A103" s="5" t="str">
        <f aca="false">B103&amp;"-"&amp;D103&amp;"-"&amp;F103</f>
        <v>IN101-PNK-LG</v>
      </c>
      <c r="B103" s="2" t="s">
        <v>91</v>
      </c>
      <c r="C103" s="5" t="str">
        <f aca="false">IFERROR(INDEX(Styles!$B$2:$B$27,MATCH(B103,Styles!$A$2:$A$27,0)),"?")</f>
        <v>Cleo Underwear</v>
      </c>
      <c r="D103" s="2" t="s">
        <v>290</v>
      </c>
      <c r="E103" s="5" t="str">
        <f aca="false">IFERROR(INDEX('Code Tables'!$E$2:$E$40,MATCH(D103,'Code Tables'!$D$2:$D$40,0)),"?")</f>
        <v>Pink</v>
      </c>
      <c r="F103" s="7" t="s">
        <v>274</v>
      </c>
      <c r="G103" s="5" t="str">
        <f aca="false">IFERROR(INDEX('Code Tables'!$J$2:$J$20,MATCH(F103,'Code Tables'!$I$2:$I$20,0)),"?")</f>
        <v>Large</v>
      </c>
      <c r="H103" s="2" t="s">
        <v>305</v>
      </c>
      <c r="I103" s="2" t="s">
        <v>296</v>
      </c>
      <c r="J103" s="2"/>
      <c r="K103" s="2" t="s">
        <v>93</v>
      </c>
      <c r="L103" s="2"/>
      <c r="M103" s="5" t="str">
        <f aca="false">IF(COUNTIF($A$2:$A$105,A103)&gt;1,"DUPLICATE",IF(ISNA(MATCH(B103,Styles!$A$2:$A$27,0)),"BAD STYLE",IF(ISNA(MATCH(D103,'Code Tables'!$D$2:$D$40,0)),"BAD COLOR",IF(ISNA(MATCH(F103,'Code Tables'!$I$2:$I$20,0)),"BAD SIZE","ok"))))</f>
        <v>ok</v>
      </c>
      <c r="N103" s="2" t="s">
        <v>307</v>
      </c>
      <c r="O103" s="5" t="n">
        <f aca="false">IF(COUNTIFS($B$2:B103,B103,$D$2:D103,D103)=1,1,0)</f>
        <v>0</v>
      </c>
    </row>
    <row r="104" customFormat="false" ht="15" hidden="false" customHeight="false" outlineLevel="0" collapsed="false">
      <c r="A104" s="5" t="str">
        <f aca="false">B104&amp;"-"&amp;D104&amp;"-"&amp;F104</f>
        <v>IN101-PNK-XL</v>
      </c>
      <c r="B104" s="2" t="s">
        <v>91</v>
      </c>
      <c r="C104" s="5" t="str">
        <f aca="false">IFERROR(INDEX(Styles!$B$2:$B$27,MATCH(B104,Styles!$A$2:$A$27,0)),"?")</f>
        <v>Cleo Underwear</v>
      </c>
      <c r="D104" s="2" t="s">
        <v>290</v>
      </c>
      <c r="E104" s="5" t="str">
        <f aca="false">IFERROR(INDEX('Code Tables'!$E$2:$E$40,MATCH(D104,'Code Tables'!$D$2:$D$40,0)),"?")</f>
        <v>Pink</v>
      </c>
      <c r="F104" s="7" t="s">
        <v>297</v>
      </c>
      <c r="G104" s="5" t="str">
        <f aca="false">IFERROR(INDEX('Code Tables'!$J$2:$J$20,MATCH(F104,'Code Tables'!$I$2:$I$20,0)),"?")</f>
        <v>Extra Large</v>
      </c>
      <c r="H104" s="2" t="s">
        <v>305</v>
      </c>
      <c r="I104" s="2" t="s">
        <v>298</v>
      </c>
      <c r="J104" s="2"/>
      <c r="K104" s="2" t="s">
        <v>93</v>
      </c>
      <c r="L104" s="2"/>
      <c r="M104" s="5" t="str">
        <f aca="false">IF(COUNTIF($A$2:$A$105,A104)&gt;1,"DUPLICATE",IF(ISNA(MATCH(B104,Styles!$A$2:$A$27,0)),"BAD STYLE",IF(ISNA(MATCH(D104,'Code Tables'!$D$2:$D$40,0)),"BAD COLOR",IF(ISNA(MATCH(F104,'Code Tables'!$I$2:$I$20,0)),"BAD SIZE","ok"))))</f>
        <v>ok</v>
      </c>
      <c r="N104" s="2" t="s">
        <v>307</v>
      </c>
      <c r="O104" s="5" t="n">
        <f aca="false">IF(COUNTIFS($B$2:B104,B104,$D$2:D104,D104)=1,1,0)</f>
        <v>0</v>
      </c>
    </row>
    <row r="105" customFormat="false" ht="15" hidden="false" customHeight="false" outlineLevel="0" collapsed="false">
      <c r="A105" s="5" t="str">
        <f aca="false">B105&amp;"-"&amp;D105&amp;"-"&amp;F105</f>
        <v>BG105-RED-PT</v>
      </c>
      <c r="B105" s="2" t="s">
        <v>63</v>
      </c>
      <c r="C105" s="5" t="str">
        <f aca="false">IFERROR(INDEX(Styles!$B$2:$B$27,MATCH(B105,Styles!$A$2:$A$27,0)),"?")</f>
        <v>Bean Bag</v>
      </c>
      <c r="D105" s="2" t="s">
        <v>169</v>
      </c>
      <c r="E105" s="5" t="str">
        <f aca="false">IFERROR(INDEX('Code Tables'!$E$2:$E$40,MATCH(D105,'Code Tables'!$D$2:$D$40,0)),"?")</f>
        <v>Red</v>
      </c>
      <c r="F105" s="7" t="s">
        <v>259</v>
      </c>
      <c r="G105" s="5" t="str">
        <f aca="false">IFERROR(INDEX('Code Tables'!$J$2:$J$20,MATCH(F105,'Code Tables'!$I$2:$I$20,0)),"?")</f>
        <v>Petite</v>
      </c>
      <c r="H105" s="2" t="s">
        <v>312</v>
      </c>
      <c r="I105" s="2" t="s">
        <v>313</v>
      </c>
      <c r="J105" s="2"/>
      <c r="K105" s="2" t="s">
        <v>314</v>
      </c>
      <c r="L105" s="2"/>
      <c r="M105" s="5" t="str">
        <f aca="false">IF(COUNTIF($A$2:$A$105,A105)&gt;1,"DUPLICATE",IF(ISNA(MATCH(B105,Styles!$A$2:$A$27,0)),"BAD STYLE",IF(ISNA(MATCH(D105,'Code Tables'!$D$2:$D$40,0)),"BAD COLOR",IF(ISNA(MATCH(F105,'Code Tables'!$I$2:$I$20,0)),"BAD SIZE","ok"))))</f>
        <v>ok</v>
      </c>
      <c r="N105" s="2" t="s">
        <v>315</v>
      </c>
      <c r="O105" s="5" t="n">
        <f aca="false">IF(COUNTIFS($B$2:B105,B105,$D$2:D105,D105)=1,1,0)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4" t="s">
        <v>122</v>
      </c>
      <c r="B1" s="4" t="s">
        <v>316</v>
      </c>
      <c r="C1" s="4" t="s">
        <v>21</v>
      </c>
      <c r="D1" s="4" t="s">
        <v>317</v>
      </c>
    </row>
    <row r="2" customFormat="false" ht="15" hidden="false" customHeight="false" outlineLevel="0" collapsed="false">
      <c r="A2" s="2" t="s">
        <v>130</v>
      </c>
      <c r="B2" s="5" t="str">
        <f aca="false">IFERROR(INDEX(SKUs!$A$2:$A$105,MATCH(A2,SKUs!$J$2:$J$105,0)),"retired")</f>
        <v>TP101-BLK-01</v>
      </c>
      <c r="C2" s="2" t="s">
        <v>30</v>
      </c>
      <c r="D2" s="2" t="s">
        <v>129</v>
      </c>
    </row>
    <row r="3" customFormat="false" ht="15" hidden="false" customHeight="false" outlineLevel="0" collapsed="false">
      <c r="A3" s="2" t="s">
        <v>134</v>
      </c>
      <c r="B3" s="5" t="str">
        <f aca="false">IFERROR(INDEX(SKUs!$A$2:$A$105,MATCH(A3,SKUs!$J$2:$J$105,0)),"retired")</f>
        <v>TP101-BLK-02</v>
      </c>
      <c r="C3" s="2" t="s">
        <v>30</v>
      </c>
      <c r="D3" s="2" t="s">
        <v>133</v>
      </c>
    </row>
    <row r="4" customFormat="false" ht="15" hidden="false" customHeight="false" outlineLevel="0" collapsed="false">
      <c r="A4" s="2" t="s">
        <v>137</v>
      </c>
      <c r="B4" s="5" t="str">
        <f aca="false">IFERROR(INDEX(SKUs!$A$2:$A$105,MATCH(A4,SKUs!$J$2:$J$105,0)),"retired")</f>
        <v>TP101-BLK-03</v>
      </c>
      <c r="C4" s="2" t="s">
        <v>30</v>
      </c>
      <c r="D4" s="2" t="s">
        <v>136</v>
      </c>
    </row>
    <row r="5" customFormat="false" ht="15" hidden="false" customHeight="false" outlineLevel="0" collapsed="false">
      <c r="A5" s="2" t="s">
        <v>140</v>
      </c>
      <c r="B5" s="5" t="str">
        <f aca="false">IFERROR(INDEX(SKUs!$A$2:$A$105,MATCH(A5,SKUs!$J$2:$J$105,0)),"retired")</f>
        <v>TP101-WHT-01</v>
      </c>
      <c r="C5" s="2" t="s">
        <v>30</v>
      </c>
      <c r="D5" s="2" t="s">
        <v>139</v>
      </c>
    </row>
    <row r="6" customFormat="false" ht="15" hidden="false" customHeight="false" outlineLevel="0" collapsed="false">
      <c r="A6" s="2" t="s">
        <v>142</v>
      </c>
      <c r="B6" s="5" t="str">
        <f aca="false">IFERROR(INDEX(SKUs!$A$2:$A$105,MATCH(A6,SKUs!$J$2:$J$105,0)),"retired")</f>
        <v>TP101-WHT-02</v>
      </c>
      <c r="C6" s="2" t="s">
        <v>30</v>
      </c>
      <c r="D6" s="2" t="s">
        <v>141</v>
      </c>
    </row>
    <row r="7" customFormat="false" ht="15" hidden="false" customHeight="false" outlineLevel="0" collapsed="false">
      <c r="A7" s="2" t="s">
        <v>144</v>
      </c>
      <c r="B7" s="5" t="str">
        <f aca="false">IFERROR(INDEX(SKUs!$A$2:$A$105,MATCH(A7,SKUs!$J$2:$J$105,0)),"retired")</f>
        <v>TP101-WHT-03</v>
      </c>
      <c r="C7" s="2" t="s">
        <v>30</v>
      </c>
      <c r="D7" s="2" t="s">
        <v>143</v>
      </c>
    </row>
    <row r="8" customFormat="false" ht="15" hidden="false" customHeight="false" outlineLevel="0" collapsed="false">
      <c r="A8" s="2" t="s">
        <v>148</v>
      </c>
      <c r="B8" s="5" t="str">
        <f aca="false">IFERROR(INDEX(SKUs!$A$2:$A$105,MATCH(A8,SKUs!$J$2:$J$105,0)),"retired")</f>
        <v>TP101-BER-01</v>
      </c>
      <c r="C8" s="2" t="s">
        <v>30</v>
      </c>
      <c r="D8" s="2" t="s">
        <v>147</v>
      </c>
    </row>
    <row r="9" customFormat="false" ht="15" hidden="false" customHeight="false" outlineLevel="0" collapsed="false">
      <c r="A9" s="2" t="s">
        <v>152</v>
      </c>
      <c r="B9" s="5" t="str">
        <f aca="false">IFERROR(INDEX(SKUs!$A$2:$A$105,MATCH(A9,SKUs!$J$2:$J$105,0)),"retired")</f>
        <v>TP101-BER-02</v>
      </c>
      <c r="C9" s="2" t="s">
        <v>30</v>
      </c>
      <c r="D9" s="2" t="s">
        <v>151</v>
      </c>
    </row>
    <row r="10" customFormat="false" ht="15" hidden="false" customHeight="false" outlineLevel="0" collapsed="false">
      <c r="A10" s="2" t="s">
        <v>154</v>
      </c>
      <c r="B10" s="5" t="str">
        <f aca="false">IFERROR(INDEX(SKUs!$A$2:$A$105,MATCH(A10,SKUs!$J$2:$J$105,0)),"retired")</f>
        <v>TP101-BER-03</v>
      </c>
      <c r="C10" s="2" t="s">
        <v>30</v>
      </c>
      <c r="D10" s="2" t="s">
        <v>153</v>
      </c>
    </row>
    <row r="11" customFormat="false" ht="15" hidden="false" customHeight="false" outlineLevel="0" collapsed="false">
      <c r="A11" s="2" t="s">
        <v>163</v>
      </c>
      <c r="B11" s="5" t="str">
        <f aca="false">IFERROR(INDEX(SKUs!$A$2:$A$105,MATCH(A11,SKUs!$J$2:$J$105,0)),"retired")</f>
        <v>TP101-SPS-01</v>
      </c>
      <c r="C11" s="2" t="s">
        <v>30</v>
      </c>
      <c r="D11" s="2" t="s">
        <v>162</v>
      </c>
    </row>
    <row r="12" customFormat="false" ht="15" hidden="false" customHeight="false" outlineLevel="0" collapsed="false">
      <c r="A12" s="2" t="s">
        <v>166</v>
      </c>
      <c r="B12" s="5" t="str">
        <f aca="false">IFERROR(INDEX(SKUs!$A$2:$A$105,MATCH(A12,SKUs!$J$2:$J$105,0)),"retired")</f>
        <v>TP101-SPS-02</v>
      </c>
      <c r="C12" s="2" t="s">
        <v>30</v>
      </c>
      <c r="D12" s="2" t="s">
        <v>165</v>
      </c>
    </row>
    <row r="13" customFormat="false" ht="15" hidden="false" customHeight="false" outlineLevel="0" collapsed="false">
      <c r="A13" s="2" t="s">
        <v>168</v>
      </c>
      <c r="B13" s="5" t="str">
        <f aca="false">IFERROR(INDEX(SKUs!$A$2:$A$105,MATCH(A13,SKUs!$J$2:$J$105,0)),"retired")</f>
        <v>TP101-SPS-03</v>
      </c>
      <c r="C13" s="2" t="s">
        <v>30</v>
      </c>
      <c r="D13" s="2" t="s">
        <v>167</v>
      </c>
    </row>
    <row r="14" customFormat="false" ht="15" hidden="false" customHeight="false" outlineLevel="0" collapsed="false">
      <c r="A14" s="2" t="s">
        <v>172</v>
      </c>
      <c r="B14" s="5" t="str">
        <f aca="false">IFERROR(INDEX(SKUs!$A$2:$A$105,MATCH(A14,SKUs!$J$2:$J$105,0)),"retired")</f>
        <v>TP101-RED-01</v>
      </c>
      <c r="C14" s="2" t="s">
        <v>30</v>
      </c>
      <c r="D14" s="2" t="s">
        <v>171</v>
      </c>
    </row>
    <row r="15" customFormat="false" ht="15" hidden="false" customHeight="false" outlineLevel="0" collapsed="false">
      <c r="A15" s="2" t="s">
        <v>174</v>
      </c>
      <c r="B15" s="5" t="str">
        <f aca="false">IFERROR(INDEX(SKUs!$A$2:$A$105,MATCH(A15,SKUs!$J$2:$J$105,0)),"retired")</f>
        <v>TP101-RED-02</v>
      </c>
      <c r="C15" s="2" t="s">
        <v>30</v>
      </c>
      <c r="D15" s="2" t="s">
        <v>173</v>
      </c>
    </row>
    <row r="16" customFormat="false" ht="15" hidden="false" customHeight="false" outlineLevel="0" collapsed="false">
      <c r="A16" s="2" t="s">
        <v>176</v>
      </c>
      <c r="B16" s="5" t="str">
        <f aca="false">IFERROR(INDEX(SKUs!$A$2:$A$105,MATCH(A16,SKUs!$J$2:$J$105,0)),"retired")</f>
        <v>TP101-RED-03</v>
      </c>
      <c r="C16" s="2" t="s">
        <v>30</v>
      </c>
      <c r="D16" s="2" t="s">
        <v>175</v>
      </c>
    </row>
    <row r="17" customFormat="false" ht="15" hidden="false" customHeight="false" outlineLevel="0" collapsed="false">
      <c r="A17" s="2" t="s">
        <v>180</v>
      </c>
      <c r="B17" s="5" t="str">
        <f aca="false">IFERROR(INDEX(SKUs!$A$2:$A$105,MATCH(A17,SKUs!$J$2:$J$105,0)),"retired")</f>
        <v>TP101-SHL-01</v>
      </c>
      <c r="C17" s="2" t="s">
        <v>30</v>
      </c>
      <c r="D17" s="2" t="s">
        <v>179</v>
      </c>
    </row>
    <row r="18" customFormat="false" ht="15" hidden="false" customHeight="false" outlineLevel="0" collapsed="false">
      <c r="A18" s="2" t="s">
        <v>182</v>
      </c>
      <c r="B18" s="5" t="str">
        <f aca="false">IFERROR(INDEX(SKUs!$A$2:$A$105,MATCH(A18,SKUs!$J$2:$J$105,0)),"retired")</f>
        <v>TP101-SHL-02</v>
      </c>
      <c r="C18" s="2" t="s">
        <v>30</v>
      </c>
      <c r="D18" s="2" t="s">
        <v>181</v>
      </c>
    </row>
    <row r="19" customFormat="false" ht="15" hidden="false" customHeight="false" outlineLevel="0" collapsed="false">
      <c r="A19" s="2" t="s">
        <v>184</v>
      </c>
      <c r="B19" s="5" t="str">
        <f aca="false">IFERROR(INDEX(SKUs!$A$2:$A$105,MATCH(A19,SKUs!$J$2:$J$105,0)),"retired")</f>
        <v>TP101-SHL-03</v>
      </c>
      <c r="C19" s="2" t="s">
        <v>30</v>
      </c>
      <c r="D19" s="2" t="s">
        <v>183</v>
      </c>
    </row>
    <row r="20" customFormat="false" ht="15" hidden="false" customHeight="false" outlineLevel="0" collapsed="false">
      <c r="A20" s="2" t="s">
        <v>193</v>
      </c>
      <c r="B20" s="5" t="str">
        <f aca="false">IFERROR(INDEX(SKUs!$A$2:$A$105,MATCH(A20,SKUs!$J$2:$J$105,0)),"retired")</f>
        <v>TP101-SNS-01</v>
      </c>
      <c r="C20" s="2" t="s">
        <v>30</v>
      </c>
      <c r="D20" s="2" t="s">
        <v>192</v>
      </c>
    </row>
    <row r="21" customFormat="false" ht="15" hidden="false" customHeight="false" outlineLevel="0" collapsed="false">
      <c r="A21" s="2" t="s">
        <v>195</v>
      </c>
      <c r="B21" s="5" t="str">
        <f aca="false">IFERROR(INDEX(SKUs!$A$2:$A$105,MATCH(A21,SKUs!$J$2:$J$105,0)),"retired")</f>
        <v>TP101-SNS-02</v>
      </c>
      <c r="C21" s="2" t="s">
        <v>30</v>
      </c>
      <c r="D21" s="2" t="s">
        <v>194</v>
      </c>
    </row>
    <row r="22" customFormat="false" ht="15" hidden="false" customHeight="false" outlineLevel="0" collapsed="false">
      <c r="A22" s="2" t="s">
        <v>197</v>
      </c>
      <c r="B22" s="5" t="str">
        <f aca="false">IFERROR(INDEX(SKUs!$A$2:$A$105,MATCH(A22,SKUs!$J$2:$J$105,0)),"retired")</f>
        <v>TP101-SNS-03</v>
      </c>
      <c r="C22" s="2" t="s">
        <v>30</v>
      </c>
      <c r="D22" s="2" t="s">
        <v>196</v>
      </c>
    </row>
    <row r="23" customFormat="false" ht="15" hidden="false" customHeight="false" outlineLevel="0" collapsed="false">
      <c r="A23" s="2" t="s">
        <v>204</v>
      </c>
      <c r="B23" s="5" t="str">
        <f aca="false">IFERROR(INDEX(SKUs!$A$2:$A$105,MATCH(A23,SKUs!$J$2:$J$105,0)),"retired")</f>
        <v>DR101-BLK-01</v>
      </c>
      <c r="C23" s="2" t="s">
        <v>39</v>
      </c>
      <c r="D23" s="2" t="s">
        <v>129</v>
      </c>
    </row>
    <row r="24" customFormat="false" ht="15" hidden="false" customHeight="false" outlineLevel="0" collapsed="false">
      <c r="A24" s="2" t="s">
        <v>205</v>
      </c>
      <c r="B24" s="5" t="str">
        <f aca="false">IFERROR(INDEX(SKUs!$A$2:$A$105,MATCH(A24,SKUs!$J$2:$J$105,0)),"retired")</f>
        <v>DR101-BLK-02</v>
      </c>
      <c r="C24" s="2" t="s">
        <v>39</v>
      </c>
      <c r="D24" s="2" t="s">
        <v>133</v>
      </c>
    </row>
    <row r="25" customFormat="false" ht="15" hidden="false" customHeight="false" outlineLevel="0" collapsed="false">
      <c r="A25" s="2" t="s">
        <v>206</v>
      </c>
      <c r="B25" s="5" t="str">
        <f aca="false">IFERROR(INDEX(SKUs!$A$2:$A$105,MATCH(A25,SKUs!$J$2:$J$105,0)),"retired")</f>
        <v>DR101-BLK-03</v>
      </c>
      <c r="C25" s="2" t="s">
        <v>39</v>
      </c>
      <c r="D25" s="2" t="s">
        <v>136</v>
      </c>
    </row>
    <row r="26" customFormat="false" ht="15" hidden="false" customHeight="false" outlineLevel="0" collapsed="false">
      <c r="A26" s="2" t="s">
        <v>207</v>
      </c>
      <c r="B26" s="5" t="str">
        <f aca="false">IFERROR(INDEX(SKUs!$A$2:$A$105,MATCH(A26,SKUs!$J$2:$J$105,0)),"retired")</f>
        <v>DR101-WHT-01</v>
      </c>
      <c r="C26" s="2" t="s">
        <v>39</v>
      </c>
      <c r="D26" s="2" t="s">
        <v>139</v>
      </c>
    </row>
    <row r="27" customFormat="false" ht="15" hidden="false" customHeight="false" outlineLevel="0" collapsed="false">
      <c r="A27" s="2" t="s">
        <v>208</v>
      </c>
      <c r="B27" s="5" t="str">
        <f aca="false">IFERROR(INDEX(SKUs!$A$2:$A$105,MATCH(A27,SKUs!$J$2:$J$105,0)),"retired")</f>
        <v>DR101-WHT-02</v>
      </c>
      <c r="C27" s="2" t="s">
        <v>39</v>
      </c>
      <c r="D27" s="2" t="s">
        <v>141</v>
      </c>
    </row>
    <row r="28" customFormat="false" ht="15" hidden="false" customHeight="false" outlineLevel="0" collapsed="false">
      <c r="A28" s="2" t="s">
        <v>209</v>
      </c>
      <c r="B28" s="5" t="str">
        <f aca="false">IFERROR(INDEX(SKUs!$A$2:$A$105,MATCH(A28,SKUs!$J$2:$J$105,0)),"retired")</f>
        <v>DR101-WHT-03</v>
      </c>
      <c r="C28" s="2" t="s">
        <v>39</v>
      </c>
      <c r="D28" s="2" t="s">
        <v>143</v>
      </c>
    </row>
    <row r="29" customFormat="false" ht="15" hidden="false" customHeight="false" outlineLevel="0" collapsed="false">
      <c r="A29" s="2" t="s">
        <v>225</v>
      </c>
      <c r="B29" s="5" t="str">
        <f aca="false">IFERROR(INDEX(SKUs!$A$2:$A$105,MATCH(A29,SKUs!$J$2:$J$105,0)),"retired")</f>
        <v>BG101-CHC-OS</v>
      </c>
      <c r="C29" s="2" t="s">
        <v>51</v>
      </c>
      <c r="D29" s="2" t="s">
        <v>224</v>
      </c>
    </row>
    <row r="30" customFormat="false" ht="15" hidden="false" customHeight="false" outlineLevel="0" collapsed="false">
      <c r="A30" s="2" t="s">
        <v>228</v>
      </c>
      <c r="B30" s="5" t="str">
        <f aca="false">IFERROR(INDEX(SKUs!$A$2:$A$105,MATCH(A30,SKUs!$J$2:$J$105,0)),"retired")</f>
        <v>BG101-BLK-OS</v>
      </c>
      <c r="C30" s="2" t="s">
        <v>51</v>
      </c>
      <c r="D30" s="2" t="s">
        <v>224</v>
      </c>
    </row>
    <row r="31" customFormat="false" ht="15" hidden="false" customHeight="false" outlineLevel="0" collapsed="false">
      <c r="A31" s="2" t="s">
        <v>231</v>
      </c>
      <c r="B31" s="5" t="str">
        <f aca="false">IFERROR(INDEX(SKUs!$A$2:$A$105,MATCH(A31,SKUs!$J$2:$J$105,0)),"retired")</f>
        <v>BG101-SLV-OS</v>
      </c>
      <c r="C31" s="2" t="s">
        <v>51</v>
      </c>
      <c r="D31" s="2" t="s">
        <v>224</v>
      </c>
    </row>
    <row r="32" customFormat="false" ht="15" hidden="false" customHeight="false" outlineLevel="0" collapsed="false">
      <c r="A32" s="2" t="s">
        <v>235</v>
      </c>
      <c r="B32" s="5" t="str">
        <f aca="false">IFERROR(INDEX(SKUs!$A$2:$A$105,MATCH(A32,SKUs!$J$2:$J$105,0)),"retired")</f>
        <v>BG101-DBL-OS</v>
      </c>
      <c r="C32" s="2" t="s">
        <v>51</v>
      </c>
      <c r="D32" s="2" t="s">
        <v>234</v>
      </c>
    </row>
    <row r="33" customFormat="false" ht="15" hidden="false" customHeight="false" outlineLevel="0" collapsed="false">
      <c r="A33" s="2" t="s">
        <v>238</v>
      </c>
      <c r="B33" s="5" t="str">
        <f aca="false">IFERROR(INDEX(SKUs!$A$2:$A$105,MATCH(A33,SKUs!$J$2:$J$105,0)),"retired")</f>
        <v>BG101-DPK-OS</v>
      </c>
      <c r="C33" s="2" t="s">
        <v>51</v>
      </c>
      <c r="D33" s="2" t="s">
        <v>237</v>
      </c>
    </row>
    <row r="34" customFormat="false" ht="15" hidden="false" customHeight="false" outlineLevel="0" collapsed="false">
      <c r="A34" s="2" t="s">
        <v>241</v>
      </c>
      <c r="B34" s="5" t="str">
        <f aca="false">IFERROR(INDEX(SKUs!$A$2:$A$105,MATCH(A34,SKUs!$J$2:$J$105,0)),"retired")</f>
        <v>BG101-OLV-OS</v>
      </c>
      <c r="C34" s="2" t="s">
        <v>51</v>
      </c>
      <c r="D34" s="2" t="s">
        <v>224</v>
      </c>
    </row>
    <row r="35" customFormat="false" ht="15" hidden="false" customHeight="false" outlineLevel="0" collapsed="false">
      <c r="A35" s="2" t="s">
        <v>279</v>
      </c>
      <c r="B35" s="5" t="str">
        <f aca="false">IFERROR(INDEX(SKUs!$A$2:$A$105,MATCH(A35,SKUs!$J$2:$J$105,0)),"retired")</f>
        <v>AC103-HPK-OS</v>
      </c>
      <c r="C35" s="2" t="s">
        <v>78</v>
      </c>
      <c r="D35" s="2" t="s">
        <v>278</v>
      </c>
    </row>
    <row r="36" customFormat="false" ht="15" hidden="false" customHeight="false" outlineLevel="0" collapsed="false">
      <c r="A36" s="2" t="s">
        <v>318</v>
      </c>
      <c r="B36" s="5" t="str">
        <f aca="false">IFERROR(INDEX(SKUs!$A$2:$A$105,MATCH(A36,SKUs!$J$2:$J$105,0)),"retired")</f>
        <v>retired</v>
      </c>
      <c r="C36" s="2" t="s">
        <v>319</v>
      </c>
      <c r="D36" s="2" t="s">
        <v>129</v>
      </c>
    </row>
    <row r="37" customFormat="false" ht="15" hidden="false" customHeight="false" outlineLevel="0" collapsed="false">
      <c r="A37" s="2" t="s">
        <v>320</v>
      </c>
      <c r="B37" s="5" t="str">
        <f aca="false">IFERROR(INDEX(SKUs!$A$2:$A$105,MATCH(A37,SKUs!$J$2:$J$105,0)),"retired")</f>
        <v>retired</v>
      </c>
      <c r="C37" s="2" t="s">
        <v>319</v>
      </c>
      <c r="D37" s="2" t="s">
        <v>133</v>
      </c>
    </row>
    <row r="38" customFormat="false" ht="15" hidden="false" customHeight="false" outlineLevel="0" collapsed="false">
      <c r="A38" s="2" t="s">
        <v>321</v>
      </c>
      <c r="B38" s="5" t="str">
        <f aca="false">IFERROR(INDEX(SKUs!$A$2:$A$105,MATCH(A38,SKUs!$J$2:$J$105,0)),"retired")</f>
        <v>retired</v>
      </c>
      <c r="C38" s="2" t="s">
        <v>319</v>
      </c>
      <c r="D38" s="2" t="s">
        <v>136</v>
      </c>
    </row>
    <row r="39" customFormat="false" ht="15" hidden="false" customHeight="false" outlineLevel="0" collapsed="false">
      <c r="A39" s="2" t="s">
        <v>322</v>
      </c>
      <c r="B39" s="5" t="str">
        <f aca="false">IFERROR(INDEX(SKUs!$A$2:$A$105,MATCH(A39,SKUs!$J$2:$J$105,0)),"retired")</f>
        <v>retired</v>
      </c>
      <c r="C39" s="2" t="s">
        <v>319</v>
      </c>
      <c r="D39" s="2" t="s">
        <v>139</v>
      </c>
    </row>
    <row r="40" customFormat="false" ht="15" hidden="false" customHeight="false" outlineLevel="0" collapsed="false">
      <c r="A40" s="2" t="s">
        <v>323</v>
      </c>
      <c r="B40" s="5" t="str">
        <f aca="false">IFERROR(INDEX(SKUs!$A$2:$A$105,MATCH(A40,SKUs!$J$2:$J$105,0)),"retired")</f>
        <v>retired</v>
      </c>
      <c r="C40" s="2" t="s">
        <v>319</v>
      </c>
      <c r="D40" s="2" t="s">
        <v>141</v>
      </c>
    </row>
    <row r="41" customFormat="false" ht="15" hidden="false" customHeight="false" outlineLevel="0" collapsed="false">
      <c r="A41" s="2" t="s">
        <v>324</v>
      </c>
      <c r="B41" s="5" t="str">
        <f aca="false">IFERROR(INDEX(SKUs!$A$2:$A$105,MATCH(A41,SKUs!$J$2:$J$105,0)),"retired")</f>
        <v>retired</v>
      </c>
      <c r="C41" s="2" t="s">
        <v>319</v>
      </c>
      <c r="D41" s="2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3"/>
    <col collapsed="false" customWidth="true" hidden="false" outlineLevel="0" max="9" min="9" style="0" width="6"/>
    <col collapsed="false" customWidth="true" hidden="false" outlineLevel="0" max="10" min="10" style="0" width="14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8" t="s">
        <v>22</v>
      </c>
      <c r="B1" s="8" t="s">
        <v>23</v>
      </c>
      <c r="C1" s="8" t="s">
        <v>325</v>
      </c>
      <c r="D1" s="8" t="s">
        <v>116</v>
      </c>
      <c r="E1" s="8" t="s">
        <v>117</v>
      </c>
      <c r="F1" s="8" t="s">
        <v>326</v>
      </c>
      <c r="G1" s="8" t="s">
        <v>327</v>
      </c>
      <c r="I1" s="8" t="s">
        <v>118</v>
      </c>
      <c r="J1" s="8" t="s">
        <v>119</v>
      </c>
      <c r="K1" s="8" t="s">
        <v>327</v>
      </c>
    </row>
    <row r="2" customFormat="false" ht="15" hidden="false" customHeight="false" outlineLevel="0" collapsed="false">
      <c r="A2" s="2" t="s">
        <v>328</v>
      </c>
      <c r="B2" s="2" t="s">
        <v>329</v>
      </c>
      <c r="C2" s="5" t="str">
        <f aca="false">A2&amp;(101+COUNTIF(Styles!$C$2:$C$200,A2))</f>
        <v>TP106</v>
      </c>
      <c r="D2" s="2" t="s">
        <v>126</v>
      </c>
      <c r="E2" s="2" t="s">
        <v>243</v>
      </c>
      <c r="F2" s="2"/>
      <c r="G2" s="5" t="n">
        <f aca="false">COUNTIF(SKUs!$D$2:$D$105,D2)</f>
        <v>9</v>
      </c>
      <c r="H2" s="2"/>
      <c r="I2" s="7" t="s">
        <v>211</v>
      </c>
      <c r="J2" s="2" t="s">
        <v>330</v>
      </c>
      <c r="K2" s="5" t="n">
        <f aca="false">COUNTIF(SKUs!$F$2:$F$105,I2)</f>
        <v>2</v>
      </c>
    </row>
    <row r="3" customFormat="false" ht="15" hidden="false" customHeight="false" outlineLevel="0" collapsed="false">
      <c r="A3" s="2" t="s">
        <v>331</v>
      </c>
      <c r="B3" s="2" t="s">
        <v>332</v>
      </c>
      <c r="C3" s="5" t="str">
        <f aca="false">A3&amp;(101+COUNTIF(Styles!$C$2:$C$200,A3))</f>
        <v>DR106</v>
      </c>
      <c r="D3" s="2" t="s">
        <v>138</v>
      </c>
      <c r="E3" s="2" t="s">
        <v>333</v>
      </c>
      <c r="F3" s="2"/>
      <c r="G3" s="5" t="n">
        <f aca="false">COUNTIF(SKUs!$D$2:$D$105,D3)</f>
        <v>11</v>
      </c>
      <c r="H3" s="2"/>
      <c r="I3" s="7" t="s">
        <v>127</v>
      </c>
      <c r="J3" s="2" t="s">
        <v>334</v>
      </c>
      <c r="K3" s="5" t="n">
        <f aca="false">COUNTIF(SKUs!$F$2:$F$105,I3)</f>
        <v>14</v>
      </c>
    </row>
    <row r="4" customFormat="false" ht="15" hidden="false" customHeight="false" outlineLevel="0" collapsed="false">
      <c r="A4" s="2" t="s">
        <v>335</v>
      </c>
      <c r="B4" s="2" t="s">
        <v>336</v>
      </c>
      <c r="C4" s="5" t="str">
        <f aca="false">A4&amp;(101+COUNTIF(Styles!$C$2:$C$200,A4))</f>
        <v>BT103</v>
      </c>
      <c r="D4" s="2" t="s">
        <v>169</v>
      </c>
      <c r="E4" s="2" t="s">
        <v>337</v>
      </c>
      <c r="F4" s="2"/>
      <c r="G4" s="5" t="n">
        <f aca="false">COUNTIF(SKUs!$D$2:$D$105,D4)</f>
        <v>4</v>
      </c>
      <c r="H4" s="2"/>
      <c r="I4" s="7" t="s">
        <v>132</v>
      </c>
      <c r="J4" s="2" t="s">
        <v>338</v>
      </c>
      <c r="K4" s="5" t="n">
        <f aca="false">COUNTIF(SKUs!$F$2:$F$105,I4)</f>
        <v>14</v>
      </c>
    </row>
    <row r="5" customFormat="false" ht="15" hidden="false" customHeight="false" outlineLevel="0" collapsed="false">
      <c r="A5" s="2" t="s">
        <v>339</v>
      </c>
      <c r="B5" s="2" t="s">
        <v>340</v>
      </c>
      <c r="C5" s="5" t="str">
        <f aca="false">A5&amp;(101+COUNTIF(Styles!$C$2:$C$200,A5))</f>
        <v>BG107</v>
      </c>
      <c r="D5" s="2" t="s">
        <v>145</v>
      </c>
      <c r="E5" s="2" t="s">
        <v>341</v>
      </c>
      <c r="F5" s="2"/>
      <c r="G5" s="5" t="n">
        <f aca="false">COUNTIF(SKUs!$D$2:$D$105,D5)</f>
        <v>3</v>
      </c>
      <c r="H5" s="2"/>
      <c r="I5" s="7" t="s">
        <v>135</v>
      </c>
      <c r="J5" s="2" t="s">
        <v>342</v>
      </c>
      <c r="K5" s="5" t="n">
        <f aca="false">COUNTIF(SKUs!$F$2:$F$105,I5)</f>
        <v>14</v>
      </c>
    </row>
    <row r="6" customFormat="false" ht="15" hidden="false" customHeight="false" outlineLevel="0" collapsed="false">
      <c r="A6" s="2" t="s">
        <v>343</v>
      </c>
      <c r="B6" s="2" t="s">
        <v>344</v>
      </c>
      <c r="C6" s="5" t="str">
        <f aca="false">A6&amp;(101+COUNTIF(Styles!$C$2:$C$200,A6))</f>
        <v>AC105</v>
      </c>
      <c r="D6" s="2" t="s">
        <v>177</v>
      </c>
      <c r="E6" s="2" t="s">
        <v>345</v>
      </c>
      <c r="F6" s="2"/>
      <c r="G6" s="5" t="n">
        <f aca="false">COUNTIF(SKUs!$D$2:$D$105,D6)</f>
        <v>3</v>
      </c>
      <c r="H6" s="2"/>
      <c r="I6" s="7" t="s">
        <v>268</v>
      </c>
      <c r="J6" s="2" t="s">
        <v>270</v>
      </c>
      <c r="K6" s="5" t="n">
        <f aca="false">COUNTIF(SKUs!$F$2:$F$105,I6)</f>
        <v>5</v>
      </c>
    </row>
    <row r="7" customFormat="false" ht="15" hidden="false" customHeight="false" outlineLevel="0" collapsed="false">
      <c r="A7" s="2" t="s">
        <v>259</v>
      </c>
      <c r="B7" s="2" t="s">
        <v>346</v>
      </c>
      <c r="C7" s="5" t="str">
        <f aca="false">A7&amp;(101+COUNTIF(Styles!$C$2:$C$200,A7))</f>
        <v>PT103</v>
      </c>
      <c r="D7" s="2" t="s">
        <v>190</v>
      </c>
      <c r="E7" s="2" t="s">
        <v>347</v>
      </c>
      <c r="F7" s="2"/>
      <c r="G7" s="5" t="n">
        <f aca="false">COUNTIF(SKUs!$D$2:$D$105,D7)</f>
        <v>3</v>
      </c>
      <c r="H7" s="2"/>
      <c r="I7" s="7" t="s">
        <v>271</v>
      </c>
      <c r="J7" s="2" t="s">
        <v>272</v>
      </c>
      <c r="K7" s="5" t="n">
        <f aca="false">COUNTIF(SKUs!$F$2:$F$105,I7)</f>
        <v>5</v>
      </c>
    </row>
    <row r="8" customFormat="false" ht="15" hidden="false" customHeight="false" outlineLevel="0" collapsed="false">
      <c r="A8" s="2" t="s">
        <v>348</v>
      </c>
      <c r="B8" s="2" t="s">
        <v>349</v>
      </c>
      <c r="C8" s="5" t="str">
        <f aca="false">A8&amp;(101+COUNTIF(Styles!$C$2:$C$200,A8))</f>
        <v>OT102</v>
      </c>
      <c r="D8" s="2" t="s">
        <v>155</v>
      </c>
      <c r="E8" s="2" t="s">
        <v>278</v>
      </c>
      <c r="F8" s="2"/>
      <c r="G8" s="5" t="n">
        <f aca="false">COUNTIF(SKUs!$D$2:$D$105,D8)</f>
        <v>4</v>
      </c>
      <c r="H8" s="2"/>
      <c r="I8" s="7" t="s">
        <v>263</v>
      </c>
      <c r="J8" s="2" t="s">
        <v>273</v>
      </c>
      <c r="K8" s="5" t="n">
        <f aca="false">COUNTIF(SKUs!$F$2:$F$105,I8)</f>
        <v>6</v>
      </c>
    </row>
    <row r="9" customFormat="false" ht="15" hidden="false" customHeight="false" outlineLevel="0" collapsed="false">
      <c r="A9" s="2" t="s">
        <v>350</v>
      </c>
      <c r="B9" s="2" t="s">
        <v>351</v>
      </c>
      <c r="C9" s="5" t="str">
        <f aca="false">A9&amp;(101+COUNTIF(Styles!$C$2:$C$200,A9))</f>
        <v>IN102</v>
      </c>
      <c r="D9" s="2" t="s">
        <v>160</v>
      </c>
      <c r="E9" s="2" t="s">
        <v>352</v>
      </c>
      <c r="F9" s="2" t="s">
        <v>353</v>
      </c>
      <c r="G9" s="5" t="n">
        <f aca="false">COUNTIF(SKUs!$D$2:$D$105,D9)</f>
        <v>3</v>
      </c>
      <c r="H9" s="2"/>
      <c r="I9" s="7" t="s">
        <v>274</v>
      </c>
      <c r="J9" s="2" t="s">
        <v>275</v>
      </c>
      <c r="K9" s="5" t="n">
        <f aca="false">COUNTIF(SKUs!$F$2:$F$105,I9)</f>
        <v>5</v>
      </c>
    </row>
    <row r="10" customFormat="false" ht="15" hidden="false" customHeight="false" outlineLevel="0" collapsed="false">
      <c r="A10" s="2"/>
      <c r="B10" s="2"/>
      <c r="C10" s="2"/>
      <c r="D10" s="2" t="s">
        <v>185</v>
      </c>
      <c r="E10" s="2" t="s">
        <v>354</v>
      </c>
      <c r="F10" s="2"/>
      <c r="G10" s="5" t="n">
        <f aca="false">COUNTIF(SKUs!$D$2:$D$105,D10)</f>
        <v>3</v>
      </c>
      <c r="H10" s="2"/>
      <c r="I10" s="7" t="s">
        <v>259</v>
      </c>
      <c r="J10" s="2" t="s">
        <v>355</v>
      </c>
      <c r="K10" s="5" t="n">
        <f aca="false">COUNTIF(SKUs!$F$2:$F$105,I10)</f>
        <v>3</v>
      </c>
    </row>
    <row r="11" customFormat="false" ht="15" hidden="false" customHeight="false" outlineLevel="0" collapsed="false">
      <c r="A11" s="2"/>
      <c r="B11" s="2"/>
      <c r="C11" s="2"/>
      <c r="D11" s="2" t="s">
        <v>198</v>
      </c>
      <c r="E11" s="2" t="s">
        <v>356</v>
      </c>
      <c r="F11" s="2"/>
      <c r="G11" s="5" t="n">
        <f aca="false">COUNTIF(SKUs!$D$2:$D$105,D11)</f>
        <v>3</v>
      </c>
      <c r="H11" s="2"/>
      <c r="I11" s="7" t="s">
        <v>52</v>
      </c>
      <c r="J11" s="2" t="s">
        <v>357</v>
      </c>
      <c r="K11" s="5" t="n">
        <f aca="false">COUNTIF(SKUs!$F$2:$F$105,I11)</f>
        <v>32</v>
      </c>
    </row>
    <row r="12" customFormat="false" ht="15" hidden="false" customHeight="false" outlineLevel="0" collapsed="false">
      <c r="A12" s="2"/>
      <c r="B12" s="2"/>
      <c r="C12" s="2"/>
      <c r="D12" s="2" t="s">
        <v>210</v>
      </c>
      <c r="E12" s="2" t="s">
        <v>358</v>
      </c>
      <c r="F12" s="2"/>
      <c r="G12" s="5" t="n">
        <f aca="false">COUNTIF(SKUs!$D$2:$D$105,D12)</f>
        <v>4</v>
      </c>
      <c r="H12" s="2"/>
      <c r="I12" s="7" t="s">
        <v>297</v>
      </c>
      <c r="J12" s="2" t="s">
        <v>359</v>
      </c>
      <c r="K12" s="5" t="n">
        <f aca="false">COUNTIF(SKUs!$F$2:$F$105,I12)</f>
        <v>4</v>
      </c>
    </row>
    <row r="13" customFormat="false" ht="15" hidden="false" customHeight="false" outlineLevel="0" collapsed="false">
      <c r="A13" s="2"/>
      <c r="B13" s="2"/>
      <c r="C13" s="2"/>
      <c r="D13" s="2" t="s">
        <v>217</v>
      </c>
      <c r="E13" s="2" t="s">
        <v>360</v>
      </c>
      <c r="F13" s="2"/>
      <c r="G13" s="5" t="n">
        <f aca="false">COUNTIF(SKUs!$D$2:$D$105,D13)</f>
        <v>4</v>
      </c>
      <c r="H13" s="2"/>
      <c r="I13" s="2"/>
      <c r="J13" s="2"/>
      <c r="K13" s="2"/>
    </row>
    <row r="14" customFormat="false" ht="15" hidden="false" customHeight="false" outlineLevel="0" collapsed="false">
      <c r="A14" s="2"/>
      <c r="B14" s="2"/>
      <c r="C14" s="2"/>
      <c r="D14" s="2" t="s">
        <v>222</v>
      </c>
      <c r="E14" s="2" t="s">
        <v>255</v>
      </c>
      <c r="F14" s="2" t="s">
        <v>361</v>
      </c>
      <c r="G14" s="5" t="n">
        <f aca="false">COUNTIF(SKUs!$D$2:$D$105,D14)</f>
        <v>4</v>
      </c>
      <c r="H14" s="2"/>
      <c r="I14" s="2"/>
      <c r="J14" s="2"/>
      <c r="K14" s="2"/>
    </row>
    <row r="15" customFormat="false" ht="15" hidden="false" customHeight="false" outlineLevel="0" collapsed="false">
      <c r="A15" s="2"/>
      <c r="B15" s="2"/>
      <c r="C15" s="2"/>
      <c r="D15" s="2" t="s">
        <v>229</v>
      </c>
      <c r="E15" s="2" t="s">
        <v>245</v>
      </c>
      <c r="F15" s="2"/>
      <c r="G15" s="5" t="n">
        <f aca="false">COUNTIF(SKUs!$D$2:$D$105,D15)</f>
        <v>5</v>
      </c>
      <c r="H15" s="2"/>
      <c r="I15" s="2"/>
      <c r="J15" s="2"/>
      <c r="K15" s="2"/>
    </row>
    <row r="16" customFormat="false" ht="15" hidden="false" customHeight="false" outlineLevel="0" collapsed="false">
      <c r="A16" s="2"/>
      <c r="B16" s="2"/>
      <c r="C16" s="2"/>
      <c r="D16" s="2" t="s">
        <v>247</v>
      </c>
      <c r="E16" s="2" t="s">
        <v>248</v>
      </c>
      <c r="F16" s="2"/>
      <c r="G16" s="5" t="n">
        <f aca="false">COUNTIF(SKUs!$D$2:$D$105,D16)</f>
        <v>3</v>
      </c>
      <c r="H16" s="2"/>
      <c r="I16" s="2"/>
      <c r="J16" s="2"/>
      <c r="K16" s="2"/>
    </row>
    <row r="17" customFormat="false" ht="15" hidden="false" customHeight="false" outlineLevel="0" collapsed="false">
      <c r="A17" s="2"/>
      <c r="B17" s="2"/>
      <c r="C17" s="2"/>
      <c r="D17" s="2" t="s">
        <v>249</v>
      </c>
      <c r="E17" s="2" t="s">
        <v>250</v>
      </c>
      <c r="F17" s="2"/>
      <c r="G17" s="5" t="n">
        <f aca="false">COUNTIF(SKUs!$D$2:$D$105,D17)</f>
        <v>3</v>
      </c>
      <c r="H17" s="2"/>
      <c r="I17" s="2"/>
      <c r="J17" s="2"/>
      <c r="K17" s="2"/>
    </row>
    <row r="18" customFormat="false" ht="15" hidden="false" customHeight="false" outlineLevel="0" collapsed="false">
      <c r="A18" s="2"/>
      <c r="B18" s="2"/>
      <c r="C18" s="2"/>
      <c r="D18" s="2" t="s">
        <v>251</v>
      </c>
      <c r="E18" s="2" t="s">
        <v>252</v>
      </c>
      <c r="F18" s="2"/>
      <c r="G18" s="5" t="n">
        <f aca="false">COUNTIF(SKUs!$D$2:$D$105,D18)</f>
        <v>3</v>
      </c>
      <c r="H18" s="2"/>
      <c r="I18" s="2"/>
      <c r="J18" s="2"/>
      <c r="K18" s="2"/>
    </row>
    <row r="19" customFormat="false" ht="15" hidden="false" customHeight="false" outlineLevel="0" collapsed="false">
      <c r="A19" s="2"/>
      <c r="B19" s="2"/>
      <c r="C19" s="2"/>
      <c r="D19" s="2" t="s">
        <v>253</v>
      </c>
      <c r="E19" s="2" t="s">
        <v>254</v>
      </c>
      <c r="F19" s="2"/>
      <c r="G19" s="5" t="n">
        <f aca="false">COUNTIF(SKUs!$D$2:$D$105,D19)</f>
        <v>3</v>
      </c>
      <c r="H19" s="2"/>
      <c r="I19" s="2"/>
      <c r="J19" s="2"/>
      <c r="K19" s="2"/>
    </row>
    <row r="20" customFormat="false" ht="15" hidden="false" customHeight="false" outlineLevel="0" collapsed="false">
      <c r="A20" s="2"/>
      <c r="B20" s="2"/>
      <c r="C20" s="2"/>
      <c r="D20" s="2" t="s">
        <v>258</v>
      </c>
      <c r="E20" s="2" t="s">
        <v>362</v>
      </c>
      <c r="F20" s="2"/>
      <c r="G20" s="5" t="n">
        <f aca="false">COUNTIF(SKUs!$D$2:$D$105,D20)</f>
        <v>1</v>
      </c>
      <c r="H20" s="2"/>
      <c r="I20" s="2"/>
      <c r="J20" s="2"/>
      <c r="K20" s="2"/>
    </row>
    <row r="21" customFormat="false" ht="15" hidden="false" customHeight="false" outlineLevel="0" collapsed="false">
      <c r="A21" s="2"/>
      <c r="B21" s="2"/>
      <c r="C21" s="2"/>
      <c r="D21" s="2" t="s">
        <v>239</v>
      </c>
      <c r="E21" s="2" t="s">
        <v>363</v>
      </c>
      <c r="F21" s="2"/>
      <c r="G21" s="5" t="n">
        <f aca="false">COUNTIF(SKUs!$D$2:$D$105,D21)</f>
        <v>1</v>
      </c>
      <c r="H21" s="2"/>
      <c r="I21" s="2"/>
      <c r="J21" s="2"/>
      <c r="K21" s="2"/>
    </row>
    <row r="22" customFormat="false" ht="15" hidden="false" customHeight="false" outlineLevel="0" collapsed="false">
      <c r="A22" s="2"/>
      <c r="B22" s="2"/>
      <c r="C22" s="2"/>
      <c r="D22" s="2" t="s">
        <v>232</v>
      </c>
      <c r="E22" s="2" t="s">
        <v>364</v>
      </c>
      <c r="F22" s="2" t="s">
        <v>365</v>
      </c>
      <c r="G22" s="5" t="n">
        <f aca="false">COUNTIF(SKUs!$D$2:$D$105,D22)</f>
        <v>1</v>
      </c>
      <c r="H22" s="2"/>
      <c r="I22" s="2"/>
      <c r="J22" s="2"/>
      <c r="K22" s="2"/>
    </row>
    <row r="23" customFormat="false" ht="15" hidden="false" customHeight="false" outlineLevel="0" collapsed="false">
      <c r="A23" s="2"/>
      <c r="B23" s="2"/>
      <c r="C23" s="2"/>
      <c r="D23" s="2" t="s">
        <v>236</v>
      </c>
      <c r="E23" s="2" t="s">
        <v>366</v>
      </c>
      <c r="F23" s="2" t="s">
        <v>367</v>
      </c>
      <c r="G23" s="5" t="n">
        <f aca="false">COUNTIF(SKUs!$D$2:$D$105,D23)</f>
        <v>1</v>
      </c>
      <c r="H23" s="2"/>
      <c r="I23" s="2"/>
      <c r="J23" s="2"/>
      <c r="K23" s="2"/>
    </row>
    <row r="24" customFormat="false" ht="15" hidden="false" customHeight="false" outlineLevel="0" collapsed="false">
      <c r="A24" s="2"/>
      <c r="B24" s="2"/>
      <c r="C24" s="2"/>
      <c r="D24" s="2" t="s">
        <v>265</v>
      </c>
      <c r="E24" s="2" t="s">
        <v>368</v>
      </c>
      <c r="F24" s="2"/>
      <c r="G24" s="5" t="n">
        <f aca="false">COUNTIF(SKUs!$D$2:$D$105,D24)</f>
        <v>1</v>
      </c>
      <c r="H24" s="2"/>
      <c r="I24" s="2"/>
      <c r="J24" s="2"/>
      <c r="K24" s="2"/>
    </row>
    <row r="25" customFormat="false" ht="15" hidden="false" customHeight="false" outlineLevel="0" collapsed="false">
      <c r="A25" s="2"/>
      <c r="B25" s="2"/>
      <c r="C25" s="2"/>
      <c r="D25" s="2" t="s">
        <v>267</v>
      </c>
      <c r="E25" s="2" t="s">
        <v>369</v>
      </c>
      <c r="F25" s="2"/>
      <c r="G25" s="5" t="n">
        <f aca="false">COUNTIF(SKUs!$D$2:$D$105,D25)</f>
        <v>4</v>
      </c>
      <c r="H25" s="2"/>
      <c r="I25" s="2"/>
      <c r="J25" s="2"/>
      <c r="K25" s="2"/>
    </row>
    <row r="26" customFormat="false" ht="15" hidden="false" customHeight="false" outlineLevel="0" collapsed="false">
      <c r="A26" s="2"/>
      <c r="B26" s="2"/>
      <c r="C26" s="2"/>
      <c r="D26" s="2" t="s">
        <v>285</v>
      </c>
      <c r="E26" s="2" t="s">
        <v>370</v>
      </c>
      <c r="F26" s="2"/>
      <c r="G26" s="5" t="n">
        <f aca="false">COUNTIF(SKUs!$D$2:$D$105,D26)</f>
        <v>2</v>
      </c>
      <c r="H26" s="2"/>
      <c r="I26" s="2"/>
      <c r="J26" s="2"/>
      <c r="K26" s="2"/>
    </row>
    <row r="27" customFormat="false" ht="15" hidden="false" customHeight="false" outlineLevel="0" collapsed="false">
      <c r="A27" s="2"/>
      <c r="B27" s="2"/>
      <c r="C27" s="2"/>
      <c r="D27" s="2" t="s">
        <v>280</v>
      </c>
      <c r="E27" s="2" t="s">
        <v>282</v>
      </c>
      <c r="F27" s="2"/>
      <c r="G27" s="5" t="n">
        <f aca="false">COUNTIF(SKUs!$D$2:$D$105,D27)</f>
        <v>1</v>
      </c>
      <c r="H27" s="2"/>
      <c r="I27" s="2"/>
      <c r="J27" s="2"/>
      <c r="K27" s="2"/>
    </row>
    <row r="28" customFormat="false" ht="15" hidden="false" customHeight="false" outlineLevel="0" collapsed="false">
      <c r="A28" s="2"/>
      <c r="B28" s="2"/>
      <c r="C28" s="2"/>
      <c r="D28" s="2" t="s">
        <v>283</v>
      </c>
      <c r="E28" s="2" t="s">
        <v>284</v>
      </c>
      <c r="F28" s="2"/>
      <c r="G28" s="5" t="n">
        <f aca="false">COUNTIF(SKUs!$D$2:$D$105,D28)</f>
        <v>1</v>
      </c>
      <c r="H28" s="2"/>
      <c r="I28" s="2"/>
      <c r="J28" s="2"/>
      <c r="K28" s="2"/>
    </row>
    <row r="29" customFormat="false" ht="15" hidden="false" customHeight="false" outlineLevel="0" collapsed="false">
      <c r="A29" s="2"/>
      <c r="B29" s="2"/>
      <c r="C29" s="2"/>
      <c r="D29" s="2" t="s">
        <v>288</v>
      </c>
      <c r="E29" s="2" t="s">
        <v>371</v>
      </c>
      <c r="F29" s="2"/>
      <c r="G29" s="5" t="n">
        <f aca="false">COUNTIF(SKUs!$D$2:$D$105,D29)</f>
        <v>1</v>
      </c>
      <c r="H29" s="2"/>
      <c r="I29" s="2"/>
      <c r="J29" s="2"/>
      <c r="K29" s="2"/>
    </row>
    <row r="30" customFormat="false" ht="15" hidden="false" customHeight="false" outlineLevel="0" collapsed="false">
      <c r="A30" s="2"/>
      <c r="B30" s="2"/>
      <c r="C30" s="2"/>
      <c r="D30" s="2" t="s">
        <v>290</v>
      </c>
      <c r="E30" s="2" t="s">
        <v>237</v>
      </c>
      <c r="F30" s="2"/>
      <c r="G30" s="5" t="n">
        <f aca="false">COUNTIF(SKUs!$D$2:$D$105,D30)</f>
        <v>10</v>
      </c>
      <c r="H30" s="2"/>
      <c r="I30" s="2"/>
      <c r="J30" s="2"/>
      <c r="K30" s="2"/>
    </row>
    <row r="31" customFormat="false" ht="15" hidden="false" customHeight="false" outlineLevel="0" collapsed="false">
      <c r="A31" s="2"/>
      <c r="B31" s="2"/>
      <c r="C31" s="2"/>
      <c r="D31" s="2" t="s">
        <v>299</v>
      </c>
      <c r="E31" s="2" t="s">
        <v>372</v>
      </c>
      <c r="F31" s="2"/>
      <c r="G31" s="5" t="n">
        <f aca="false">COUNTIF(SKUs!$D$2:$D$105,D31)</f>
        <v>5</v>
      </c>
      <c r="H31" s="2"/>
      <c r="I31" s="2"/>
      <c r="J31" s="2"/>
      <c r="K3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50"/>
    <col collapsed="false" customWidth="true" hidden="false" outlineLevel="0" max="4" min="4" style="0" width="60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4" t="s">
        <v>373</v>
      </c>
      <c r="B1" s="4" t="s">
        <v>374</v>
      </c>
      <c r="C1" s="4" t="s">
        <v>375</v>
      </c>
      <c r="D1" s="4" t="s">
        <v>376</v>
      </c>
      <c r="E1" s="4" t="s">
        <v>377</v>
      </c>
    </row>
    <row r="2" customFormat="false" ht="23.85" hidden="false" customHeight="false" outlineLevel="0" collapsed="false">
      <c r="A2" s="6" t="n">
        <v>1</v>
      </c>
      <c r="B2" s="6" t="s">
        <v>378</v>
      </c>
      <c r="C2" s="6" t="s">
        <v>379</v>
      </c>
      <c r="D2" s="6" t="s">
        <v>380</v>
      </c>
      <c r="E2" s="6" t="s">
        <v>381</v>
      </c>
    </row>
    <row r="3" customFormat="false" ht="15" hidden="false" customHeight="false" outlineLevel="0" collapsed="false">
      <c r="A3" s="6" t="n">
        <v>2</v>
      </c>
      <c r="B3" s="6" t="s">
        <v>382</v>
      </c>
      <c r="C3" s="6" t="s">
        <v>383</v>
      </c>
      <c r="D3" s="6"/>
      <c r="E3" s="6" t="s">
        <v>381</v>
      </c>
    </row>
    <row r="4" customFormat="false" ht="23.85" hidden="false" customHeight="false" outlineLevel="0" collapsed="false">
      <c r="A4" s="6" t="n">
        <v>3</v>
      </c>
      <c r="B4" s="6" t="s">
        <v>384</v>
      </c>
      <c r="C4" s="6" t="s">
        <v>385</v>
      </c>
      <c r="D4" s="6"/>
      <c r="E4" s="6" t="s">
        <v>381</v>
      </c>
    </row>
    <row r="5" customFormat="false" ht="23.85" hidden="false" customHeight="false" outlineLevel="0" collapsed="false">
      <c r="A5" s="6" t="n">
        <v>4</v>
      </c>
      <c r="B5" s="6" t="s">
        <v>386</v>
      </c>
      <c r="C5" s="6" t="s">
        <v>387</v>
      </c>
      <c r="D5" s="6"/>
      <c r="E5" s="6" t="s">
        <v>381</v>
      </c>
    </row>
    <row r="6" customFormat="false" ht="15" hidden="false" customHeight="false" outlineLevel="0" collapsed="false">
      <c r="A6" s="6" t="n">
        <v>5</v>
      </c>
      <c r="B6" s="6" t="s">
        <v>388</v>
      </c>
      <c r="C6" s="6" t="s">
        <v>389</v>
      </c>
      <c r="D6" s="6"/>
      <c r="E6" s="6" t="s">
        <v>381</v>
      </c>
    </row>
    <row r="7" customFormat="false" ht="23.85" hidden="false" customHeight="false" outlineLevel="0" collapsed="false">
      <c r="A7" s="6" t="n">
        <v>6</v>
      </c>
      <c r="B7" s="6" t="s">
        <v>46</v>
      </c>
      <c r="C7" s="6" t="s">
        <v>390</v>
      </c>
      <c r="D7" s="6" t="s">
        <v>391</v>
      </c>
      <c r="E7" s="6" t="s">
        <v>392</v>
      </c>
    </row>
    <row r="8" customFormat="false" ht="23.85" hidden="false" customHeight="false" outlineLevel="0" collapsed="false">
      <c r="A8" s="6" t="n">
        <v>7</v>
      </c>
      <c r="B8" s="6" t="s">
        <v>92</v>
      </c>
      <c r="C8" s="6" t="s">
        <v>393</v>
      </c>
      <c r="D8" s="6" t="s">
        <v>394</v>
      </c>
      <c r="E8" s="6" t="s">
        <v>392</v>
      </c>
    </row>
    <row r="9" customFormat="false" ht="23.85" hidden="false" customHeight="false" outlineLevel="0" collapsed="false">
      <c r="A9" s="6" t="n">
        <v>8</v>
      </c>
      <c r="B9" s="6" t="s">
        <v>395</v>
      </c>
      <c r="C9" s="6" t="s">
        <v>396</v>
      </c>
      <c r="D9" s="6" t="s">
        <v>397</v>
      </c>
      <c r="E9" s="6" t="s">
        <v>392</v>
      </c>
    </row>
    <row r="10" customFormat="false" ht="23.85" hidden="false" customHeight="false" outlineLevel="0" collapsed="false">
      <c r="A10" s="6" t="n">
        <v>9</v>
      </c>
      <c r="B10" s="6" t="s">
        <v>398</v>
      </c>
      <c r="C10" s="6" t="s">
        <v>399</v>
      </c>
      <c r="D10" s="6" t="s">
        <v>400</v>
      </c>
      <c r="E10" s="6" t="s">
        <v>392</v>
      </c>
    </row>
    <row r="11" customFormat="false" ht="23.85" hidden="false" customHeight="false" outlineLevel="0" collapsed="false">
      <c r="A11" s="6" t="n">
        <v>10</v>
      </c>
      <c r="B11" s="6" t="s">
        <v>401</v>
      </c>
      <c r="C11" s="6" t="s">
        <v>402</v>
      </c>
      <c r="D11" s="6" t="s">
        <v>403</v>
      </c>
      <c r="E11" s="6" t="s">
        <v>392</v>
      </c>
    </row>
    <row r="12" customFormat="false" ht="35.05" hidden="false" customHeight="false" outlineLevel="0" collapsed="false">
      <c r="A12" s="6" t="n">
        <v>11</v>
      </c>
      <c r="B12" s="6" t="s">
        <v>404</v>
      </c>
      <c r="C12" s="6" t="s">
        <v>405</v>
      </c>
      <c r="D12" s="6" t="s">
        <v>406</v>
      </c>
      <c r="E12" s="6" t="s">
        <v>392</v>
      </c>
    </row>
    <row r="13" customFormat="false" ht="23.85" hidden="false" customHeight="false" outlineLevel="0" collapsed="false">
      <c r="A13" s="6" t="n">
        <v>12</v>
      </c>
      <c r="B13" s="6" t="s">
        <v>407</v>
      </c>
      <c r="C13" s="6" t="s">
        <v>408</v>
      </c>
      <c r="D13" s="6" t="s">
        <v>409</v>
      </c>
      <c r="E13" s="6" t="s">
        <v>392</v>
      </c>
    </row>
    <row r="14" customFormat="false" ht="15" hidden="false" customHeight="false" outlineLevel="0" collapsed="false">
      <c r="A14" s="6" t="n">
        <v>13</v>
      </c>
      <c r="B14" s="6" t="s">
        <v>410</v>
      </c>
      <c r="C14" s="6" t="s">
        <v>411</v>
      </c>
      <c r="D14" s="6" t="s">
        <v>412</v>
      </c>
      <c r="E14" s="6" t="s">
        <v>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2026-10-08T14:32:48Z</dcterms:created>
  <dc:creator>openpyxl</dc:creator>
  <dc:description/>
  <dc:language>en-US</dc:language>
  <cp:lastModifiedBy/>
  <dcterms:modified xsi:type="dcterms:W3CDTF">2026-10-08T14:32:48Z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